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invoice-analysis-excel\"/>
    </mc:Choice>
  </mc:AlternateContent>
  <xr:revisionPtr revIDLastSave="0" documentId="13_ncr:1_{721774B7-958E-4149-A890-92053AAA32D9}" xr6:coauthVersionLast="47" xr6:coauthVersionMax="47" xr10:uidLastSave="{00000000-0000-0000-0000-000000000000}"/>
  <bookViews>
    <workbookView xWindow="-110" yWindow="-110" windowWidth="19420" windowHeight="10300" firstSheet="2" activeTab="3" xr2:uid="{56643878-06B9-462D-81B7-435828026F01}"/>
  </bookViews>
  <sheets>
    <sheet name="Invoice_Master_Data" sheetId="1" r:id="rId1"/>
    <sheet name="Analysis_Sheet" sheetId="2" r:id="rId2"/>
    <sheet name="Dashboard" sheetId="3" r:id="rId3"/>
    <sheet name="Reporting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H4" i="3"/>
  <c r="D11" i="3"/>
  <c r="D4" i="3"/>
  <c r="D5" i="3"/>
  <c r="D12" i="3"/>
  <c r="H5" i="3"/>
  <c r="H12" i="3"/>
  <c r="I2" i="2" l="1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16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<sst xmlns="http://schemas.openxmlformats.org/spreadsheetml/2006/main" count="456" uniqueCount="38">
  <si>
    <t>Sereni</t>
  </si>
  <si>
    <t>Villani</t>
  </si>
  <si>
    <t>Trefoloni</t>
  </si>
  <si>
    <t>Risti</t>
  </si>
  <si>
    <t>Fornari</t>
  </si>
  <si>
    <t>Customer</t>
  </si>
  <si>
    <t>Invoice Number</t>
  </si>
  <si>
    <t>Amount</t>
  </si>
  <si>
    <t>Due Date</t>
  </si>
  <si>
    <t>Scottà</t>
  </si>
  <si>
    <t>Rossi M.</t>
  </si>
  <si>
    <t>Pinca S.</t>
  </si>
  <si>
    <t>Bianchi R.</t>
  </si>
  <si>
    <t>Lanza A.</t>
  </si>
  <si>
    <t>Pinca V.</t>
  </si>
  <si>
    <t>Rossi F.</t>
  </si>
  <si>
    <t>Bianchi A.</t>
  </si>
  <si>
    <t>Lanza C.</t>
  </si>
  <si>
    <t>Marini E.</t>
  </si>
  <si>
    <t>Marini G.</t>
  </si>
  <si>
    <t>Issue Date</t>
  </si>
  <si>
    <t>29/02/2025</t>
  </si>
  <si>
    <t>Days Overdue</t>
  </si>
  <si>
    <t>Calculated Status</t>
  </si>
  <si>
    <t>Reference Date</t>
  </si>
  <si>
    <t>Payment Date</t>
  </si>
  <si>
    <t>Total Outstanding Invoice Count</t>
  </si>
  <si>
    <t>Selected Customer</t>
  </si>
  <si>
    <t>Total Outstanding Amount</t>
  </si>
  <si>
    <t>Invoice Count</t>
  </si>
  <si>
    <t>Total Amount</t>
  </si>
  <si>
    <t>Total Invoices Issued</t>
  </si>
  <si>
    <t>Total Amount Billed</t>
  </si>
  <si>
    <t>Overdue</t>
  </si>
  <si>
    <t>Paid</t>
  </si>
  <si>
    <t>Unpaid</t>
  </si>
  <si>
    <t>Count of Invoice Number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</si>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</sst>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[$€-2]\ * #,##0.00_-;\-[$€-2]\ * #,##0.00_-;_-[$€-2]\ * &quot;-&quot;??_-"/>
    <numFmt numFmtId="166" formatCode="#,##0.00\ &quot;€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0"/>
      <name val="Times New Roman"/>
      <family val="1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164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 wrapText="1" readingOrder="1"/>
    </xf>
    <xf numFmtId="14" fontId="7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3" fillId="2" borderId="1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3" fillId="2" borderId="1" xfId="1" applyFont="1" applyFill="1" applyBorder="1" applyAlignment="1">
      <alignment horizontal="right" vertical="center"/>
    </xf>
    <xf numFmtId="164" fontId="5" fillId="0" borderId="1" xfId="3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1" xfId="2" applyFont="1" applyFill="1" applyBorder="1" applyAlignment="1">
      <alignment horizontal="center"/>
    </xf>
    <xf numFmtId="0" fontId="9" fillId="5" borderId="1" xfId="5" applyFont="1" applyFill="1" applyBorder="1" applyAlignment="1">
      <alignment horizontal="center"/>
    </xf>
    <xf numFmtId="0" fontId="9" fillId="3" borderId="1" xfId="5" applyFont="1" applyBorder="1" applyAlignment="1">
      <alignment horizontal="center"/>
    </xf>
    <xf numFmtId="166" fontId="9" fillId="3" borderId="1" xfId="5" applyNumberFormat="1" applyFont="1" applyBorder="1" applyAlignment="1">
      <alignment horizontal="center"/>
    </xf>
    <xf numFmtId="0" fontId="9" fillId="3" borderId="1" xfId="5" applyNumberFormat="1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0" fillId="0" borderId="2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6">
    <cellStyle name="40% - Colore 3" xfId="5" builtinId="39"/>
    <cellStyle name="Euro 6" xfId="4" xr:uid="{83F31EE4-035D-4E53-9E2D-BE7A874B8AB6}"/>
    <cellStyle name="Normale" xfId="0" builtinId="0"/>
    <cellStyle name="Normale 2 2 2" xfId="2" xr:uid="{B1495BE0-ED99-4F77-8E66-8298A5F7E8FF}"/>
    <cellStyle name="Normale_Scadenziario crediti" xfId="1" xr:uid="{35419C30-1153-464C-BF4A-8DC9B04ED9AD}"/>
    <cellStyle name="Valuta 7" xfId="3" xr:uid="{C47ED96A-AAD7-4410-AB8F-412DFEB855FF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3333"/>
      <color rgb="FF72AF2F"/>
      <color rgb="FF85CA3A"/>
      <color rgb="FFFF5D5D"/>
      <color rgb="FFFF8B8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[Customer_Invoice_Analysis - filled.xlsx]Reporting!Tabella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Invoice</a:t>
            </a:r>
            <a:r>
              <a:rPr lang="en-US" b="1" baseline="0">
                <a:solidFill>
                  <a:sysClr val="windowText" lastClr="000000"/>
                </a:solidFill>
              </a:rPr>
              <a:t> Status Percentages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9305555555555557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2AF2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5.6396544181977253E-2"/>
              <c:y val="-1.1127150772820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333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136334208223972"/>
              <c:y val="-8.42592592592592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180"/>
      <c:depthPercent val="10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0"/>
        <c:ser>
          <c:idx val="0"/>
          <c:order val="0"/>
          <c:tx>
            <c:strRef>
              <c:f>Reporting!$B$1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dPt>
            <c:idx val="0"/>
            <c:bubble3D val="0"/>
            <c:spPr>
              <a:solidFill>
                <a:srgbClr val="FF333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14-443A-A239-FE903773C8F8}"/>
              </c:ext>
            </c:extLst>
          </c:dPt>
          <c:dPt>
            <c:idx val="1"/>
            <c:bubble3D val="0"/>
            <c:spPr>
              <a:solidFill>
                <a:srgbClr val="72AF2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514-443A-A239-FE903773C8F8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514-443A-A239-FE903773C8F8}"/>
              </c:ext>
            </c:extLst>
          </c:dPt>
          <c:dLbls>
            <c:dLbl>
              <c:idx val="1"/>
              <c:layout>
                <c:manualLayout>
                  <c:x val="-5.6396544181977253E-2"/>
                  <c:y val="-1.11271507728200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14-443A-A239-FE903773C8F8}"/>
                </c:ext>
              </c:extLst>
            </c:dLbl>
            <c:dLbl>
              <c:idx val="2"/>
              <c:layout>
                <c:manualLayout>
                  <c:x val="0.1136334208223972"/>
                  <c:y val="-8.425925925925925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14-443A-A239-FE903773C8F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Reporting!$A$2:$A$5</c:f>
              <c:strCache>
                <c:ptCount val="3"/>
                <c:pt idx="0">
                  <c:v>Overdue</c:v>
                </c:pt>
                <c:pt idx="1">
                  <c:v>Paid</c:v>
                </c:pt>
                <c:pt idx="2">
                  <c:v>Unpaid</c:v>
                </c:pt>
              </c:strCache>
            </c:strRef>
          </c:cat>
          <c:val>
            <c:numRef>
              <c:f>Reporting!$B$2:$B$5</c:f>
              <c:numCache>
                <c:formatCode>General</c:formatCode>
                <c:ptCount val="3"/>
                <c:pt idx="0">
                  <c:v>15</c:v>
                </c:pt>
                <c:pt idx="1">
                  <c:v>145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4-443A-A239-FE903773C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61111111111112"/>
          <c:y val="0.19146908719743369"/>
          <c:w val="0.20569210866752913"/>
          <c:h val="0.305555001827303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</xdr:row>
      <xdr:rowOff>82550</xdr:rowOff>
    </xdr:from>
    <xdr:to>
      <xdr:col>10</xdr:col>
      <xdr:colOff>247650</xdr:colOff>
      <xdr:row>17</xdr:row>
      <xdr:rowOff>146050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080866D-4932-3BAB-E70C-595520C81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88.895709027776" createdVersion="8" refreshedVersion="8" minRefreshableVersion="3" recordCount="200" xr:uid="{9D459BF5-FA3A-4137-9408-AD19C132E9EC}">
  <cacheSource type="worksheet">
    <worksheetSource ref="A1:I201" sheet="Analysis_Sheet"/>
  </cacheSource>
  <cacheFields count="9">
    <cacheField name="Invoice Number" numFmtId="0">
      <sharedItems containsSemiMixedTypes="0" containsString="0" containsNumber="1" containsInteger="1" minValue="1" maxValue="200"/>
    </cacheField>
    <cacheField name="Issue Date" numFmtId="0">
      <sharedItems containsDate="1" containsMixedTypes="1" minDate="2024-09-12T00:00:00" maxDate="2026-04-29T00:00:00"/>
    </cacheField>
    <cacheField name="Customer" numFmtId="0">
      <sharedItems/>
    </cacheField>
    <cacheField name="Amount" numFmtId="164">
      <sharedItems containsSemiMixedTypes="0" containsString="0" containsNumber="1" minValue="60" maxValue="23456"/>
    </cacheField>
    <cacheField name="Due Date" numFmtId="14">
      <sharedItems containsSemiMixedTypes="0" containsNonDate="0" containsDate="1" containsString="0" minDate="2025-03-01T00:00:00" maxDate="2026-07-29T00:00:00"/>
    </cacheField>
    <cacheField name="Payment Date" numFmtId="14">
      <sharedItems containsNonDate="0" containsDate="1" containsString="0" containsBlank="1" minDate="2025-03-01T00:00:00" maxDate="2026-07-21T00:00:00"/>
    </cacheField>
    <cacheField name="Reference Date" numFmtId="14">
      <sharedItems containsSemiMixedTypes="0" containsNonDate="0" containsDate="1" containsString="0" minDate="2025-11-20T00:00:00" maxDate="2025-11-21T00:00:00"/>
    </cacheField>
    <cacheField name="Calculated Status" numFmtId="0">
      <sharedItems count="3">
        <s v="Paid"/>
        <s v="Unpaid"/>
        <s v="Overdue"/>
      </sharedItems>
    </cacheField>
    <cacheField name="Days Overdue" numFmtId="0">
      <sharedItems containsSemiMixedTypes="0" containsString="0" containsNumber="1" containsInteger="1" minValue="0" maxValue="2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d v="2025-05-25T00:00:00"/>
    <s v="Rossi M."/>
    <n v="450"/>
    <d v="2025-08-25T00:00:00"/>
    <d v="2025-08-20T00:00:00"/>
    <d v="2025-11-20T00:00:00"/>
    <x v="0"/>
    <n v="0"/>
  </r>
  <r>
    <n v="2"/>
    <d v="2025-12-10T00:00:00"/>
    <s v="Pinca S."/>
    <n v="3562"/>
    <d v="2026-03-10T00:00:00"/>
    <m/>
    <d v="2025-11-20T00:00:00"/>
    <x v="1"/>
    <n v="0"/>
  </r>
  <r>
    <n v="3"/>
    <d v="2025-02-01T00:00:00"/>
    <s v="Sereni"/>
    <n v="2700"/>
    <d v="2025-05-01T00:00:00"/>
    <d v="2025-05-15T00:00:00"/>
    <d v="2025-11-20T00:00:00"/>
    <x v="0"/>
    <n v="0"/>
  </r>
  <r>
    <n v="4"/>
    <d v="2025-06-15T00:00:00"/>
    <s v="Scottà"/>
    <n v="399.36"/>
    <d v="2025-09-15T00:00:00"/>
    <d v="2025-10-05T00:00:00"/>
    <d v="2025-11-20T00:00:00"/>
    <x v="0"/>
    <n v="0"/>
  </r>
  <r>
    <n v="5"/>
    <d v="2025-08-05T00:00:00"/>
    <s v="Villani"/>
    <n v="960"/>
    <d v="2025-11-05T00:00:00"/>
    <m/>
    <d v="2025-11-20T00:00:00"/>
    <x v="2"/>
    <n v="15"/>
  </r>
  <r>
    <n v="6"/>
    <d v="2026-04-20T00:00:00"/>
    <s v="Bianchi R."/>
    <n v="7916.67"/>
    <d v="2026-07-20T00:00:00"/>
    <m/>
    <d v="2025-11-20T00:00:00"/>
    <x v="1"/>
    <n v="0"/>
  </r>
  <r>
    <n v="7"/>
    <d v="2025-01-11T00:00:00"/>
    <s v="Lanza A."/>
    <n v="3360"/>
    <d v="2025-04-11T00:00:00"/>
    <d v="2025-05-11T00:00:00"/>
    <d v="2025-11-20T00:00:00"/>
    <x v="0"/>
    <n v="0"/>
  </r>
  <r>
    <n v="8"/>
    <d v="2025-10-03T00:00:00"/>
    <s v="Sereni"/>
    <n v="1839.36"/>
    <d v="2026-01-03T00:00:00"/>
    <m/>
    <d v="2025-11-20T00:00:00"/>
    <x v="1"/>
    <n v="0"/>
  </r>
  <r>
    <n v="9"/>
    <d v="2024-12-18T00:00:00"/>
    <s v="Trefoloni"/>
    <n v="477.48"/>
    <d v="2025-03-18T00:00:00"/>
    <d v="2025-03-20T00:00:00"/>
    <d v="2025-11-20T00:00:00"/>
    <x v="0"/>
    <n v="0"/>
  </r>
  <r>
    <n v="10"/>
    <d v="2025-11-02T00:00:00"/>
    <s v="Pinca V."/>
    <n v="750"/>
    <d v="2026-02-02T00:00:00"/>
    <m/>
    <d v="2025-11-20T00:00:00"/>
    <x v="1"/>
    <n v="0"/>
  </r>
  <r>
    <n v="11"/>
    <d v="2025-01-29T00:00:00"/>
    <s v="Risti"/>
    <n v="750"/>
    <d v="2025-04-29T00:00:00"/>
    <d v="2025-05-05T00:00:00"/>
    <d v="2025-11-20T00:00:00"/>
    <x v="0"/>
    <n v="0"/>
  </r>
  <r>
    <n v="12"/>
    <d v="2025-09-14T00:00:00"/>
    <s v="Rossi F."/>
    <n v="3284.5"/>
    <d v="2025-12-14T00:00:00"/>
    <m/>
    <d v="2025-11-20T00:00:00"/>
    <x v="1"/>
    <n v="0"/>
  </r>
  <r>
    <n v="13"/>
    <d v="2025-04-08T00:00:00"/>
    <s v="Pinca S."/>
    <n v="4320"/>
    <d v="2025-07-08T00:00:00"/>
    <d v="2025-08-01T00:00:00"/>
    <d v="2025-11-20T00:00:00"/>
    <x v="0"/>
    <n v="0"/>
  </r>
  <r>
    <n v="14"/>
    <d v="2025-10-22T00:00:00"/>
    <s v="Bianchi A."/>
    <n v="9600"/>
    <d v="2026-01-22T00:00:00"/>
    <m/>
    <d v="2025-11-20T00:00:00"/>
    <x v="1"/>
    <n v="0"/>
  </r>
  <r>
    <n v="15"/>
    <d v="2026-01-17T00:00:00"/>
    <s v="Villani"/>
    <n v="234"/>
    <d v="2026-04-17T00:00:00"/>
    <m/>
    <d v="2025-11-20T00:00:00"/>
    <x v="1"/>
    <n v="0"/>
  </r>
  <r>
    <n v="16"/>
    <d v="2025-03-06T00:00:00"/>
    <s v="Fornari"/>
    <n v="12000"/>
    <d v="2025-06-06T00:00:00"/>
    <d v="2025-06-10T00:00:00"/>
    <d v="2025-11-20T00:00:00"/>
    <x v="0"/>
    <n v="0"/>
  </r>
  <r>
    <n v="17"/>
    <d v="2025-12-09T00:00:00"/>
    <s v="Risti"/>
    <n v="123"/>
    <d v="2026-03-09T00:00:00"/>
    <m/>
    <d v="2025-11-20T00:00:00"/>
    <x v="1"/>
    <n v="0"/>
  </r>
  <r>
    <n v="18"/>
    <d v="2025-11-19T00:00:00"/>
    <s v="Villani"/>
    <n v="790"/>
    <d v="2026-02-19T00:00:00"/>
    <m/>
    <d v="2025-11-20T00:00:00"/>
    <x v="1"/>
    <n v="0"/>
  </r>
  <r>
    <n v="19"/>
    <d v="2025-01-21T00:00:00"/>
    <s v="Sereni"/>
    <n v="580"/>
    <d v="2025-04-21T00:00:00"/>
    <d v="2025-04-20T00:00:00"/>
    <d v="2025-11-20T00:00:00"/>
    <x v="0"/>
    <n v="0"/>
  </r>
  <r>
    <n v="20"/>
    <d v="2025-07-04T00:00:00"/>
    <s v="Lanza C."/>
    <n v="2112.6"/>
    <d v="2025-10-04T00:00:00"/>
    <d v="2025-11-01T00:00:00"/>
    <d v="2025-11-20T00:00:00"/>
    <x v="0"/>
    <n v="0"/>
  </r>
  <r>
    <n v="21"/>
    <d v="2025-12-07T00:00:00"/>
    <s v="Trefoloni"/>
    <n v="1980"/>
    <d v="2026-03-07T00:00:00"/>
    <m/>
    <d v="2025-11-20T00:00:00"/>
    <x v="1"/>
    <n v="0"/>
  </r>
  <r>
    <n v="22"/>
    <d v="2025-09-23T00:00:00"/>
    <s v="Pinca V."/>
    <n v="534"/>
    <d v="2025-12-23T00:00:00"/>
    <d v="2026-01-01T00:00:00"/>
    <d v="2025-11-20T00:00:00"/>
    <x v="0"/>
    <n v="0"/>
  </r>
  <r>
    <n v="23"/>
    <d v="2026-02-13T00:00:00"/>
    <s v="Risti"/>
    <n v="8600"/>
    <d v="2026-05-13T00:00:00"/>
    <m/>
    <d v="2025-11-20T00:00:00"/>
    <x v="1"/>
    <n v="0"/>
  </r>
  <r>
    <n v="24"/>
    <d v="2025-04-01T00:00:00"/>
    <s v="Villani"/>
    <n v="1600"/>
    <d v="2025-07-01T00:00:00"/>
    <d v="2025-07-15T00:00:00"/>
    <d v="2025-11-20T00:00:00"/>
    <x v="0"/>
    <n v="0"/>
  </r>
  <r>
    <n v="25"/>
    <d v="2025-12-17T00:00:00"/>
    <s v="Fornari"/>
    <n v="1050"/>
    <d v="2026-03-17T00:00:00"/>
    <m/>
    <d v="2025-11-20T00:00:00"/>
    <x v="1"/>
    <n v="0"/>
  </r>
  <r>
    <n v="26"/>
    <d v="2025-02-28T00:00:00"/>
    <s v="Sereni"/>
    <n v="4100"/>
    <d v="2025-05-28T00:00:00"/>
    <d v="2025-06-05T00:00:00"/>
    <d v="2025-11-20T00:00:00"/>
    <x v="0"/>
    <n v="0"/>
  </r>
  <r>
    <n v="27"/>
    <d v="2025-08-02T00:00:00"/>
    <s v="Lanza A."/>
    <n v="20112.62"/>
    <d v="2025-11-02T00:00:00"/>
    <d v="2025-11-10T00:00:00"/>
    <d v="2025-11-20T00:00:00"/>
    <x v="0"/>
    <n v="0"/>
  </r>
  <r>
    <n v="28"/>
    <d v="2025-10-11T00:00:00"/>
    <s v="Pinca S."/>
    <n v="1450"/>
    <d v="2026-01-11T00:00:00"/>
    <m/>
    <d v="2025-11-20T00:00:00"/>
    <x v="1"/>
    <n v="0"/>
  </r>
  <r>
    <n v="29"/>
    <d v="2025-01-04T00:00:00"/>
    <s v="Marini E."/>
    <n v="23456"/>
    <d v="2025-04-04T00:00:00"/>
    <d v="2025-04-20T00:00:00"/>
    <d v="2025-11-20T00:00:00"/>
    <x v="0"/>
    <n v="0"/>
  </r>
  <r>
    <n v="30"/>
    <d v="2025-03-16T00:00:00"/>
    <s v="Trefoloni"/>
    <n v="400"/>
    <d v="2025-06-16T00:00:00"/>
    <d v="2025-06-10T00:00:00"/>
    <d v="2025-11-20T00:00:00"/>
    <x v="0"/>
    <n v="0"/>
  </r>
  <r>
    <n v="31"/>
    <d v="2025-11-27T00:00:00"/>
    <s v="Sereni"/>
    <n v="750"/>
    <d v="2026-02-27T00:00:00"/>
    <m/>
    <d v="2025-11-20T00:00:00"/>
    <x v="1"/>
    <n v="0"/>
  </r>
  <r>
    <n v="32"/>
    <d v="2026-01-12T00:00:00"/>
    <s v="Lanza C."/>
    <n v="3400"/>
    <d v="2026-04-12T00:00:00"/>
    <m/>
    <d v="2025-11-20T00:00:00"/>
    <x v="1"/>
    <n v="0"/>
  </r>
  <r>
    <n v="33"/>
    <d v="2025-06-05T00:00:00"/>
    <s v="Villani"/>
    <n v="1560"/>
    <d v="2025-09-05T00:00:00"/>
    <d v="2025-10-01T00:00:00"/>
    <d v="2025-11-20T00:00:00"/>
    <x v="0"/>
    <n v="0"/>
  </r>
  <r>
    <n v="34"/>
    <d v="2024-12-20T00:00:00"/>
    <s v="Rossi M."/>
    <n v="2100"/>
    <d v="2025-03-20T00:00:00"/>
    <d v="2025-03-20T00:00:00"/>
    <d v="2025-11-20T00:00:00"/>
    <x v="0"/>
    <n v="0"/>
  </r>
  <r>
    <n v="35"/>
    <d v="2025-08-13T00:00:00"/>
    <s v="Bianchi A."/>
    <n v="9600"/>
    <d v="2025-11-13T00:00:00"/>
    <d v="2025-11-15T00:00:00"/>
    <d v="2025-11-20T00:00:00"/>
    <x v="0"/>
    <n v="0"/>
  </r>
  <r>
    <n v="36"/>
    <d v="2025-05-09T00:00:00"/>
    <s v="Sereni"/>
    <n v="4259.9399999999996"/>
    <d v="2025-08-09T00:00:00"/>
    <d v="2025-09-15T00:00:00"/>
    <d v="2025-11-20T00:00:00"/>
    <x v="0"/>
    <n v="0"/>
  </r>
  <r>
    <n v="37"/>
    <d v="2025-07-24T00:00:00"/>
    <s v="Lanza A."/>
    <n v="230"/>
    <d v="2025-10-24T00:00:00"/>
    <d v="2025-11-01T00:00:00"/>
    <d v="2025-11-20T00:00:00"/>
    <x v="0"/>
    <n v="0"/>
  </r>
  <r>
    <n v="38"/>
    <d v="2026-02-03T00:00:00"/>
    <s v="Villani"/>
    <n v="3200"/>
    <d v="2026-05-03T00:00:00"/>
    <m/>
    <d v="2025-11-20T00:00:00"/>
    <x v="1"/>
    <n v="0"/>
  </r>
  <r>
    <n v="39"/>
    <d v="2024-12-15T00:00:00"/>
    <s v="Trefoloni"/>
    <n v="6780"/>
    <d v="2025-03-15T00:00:00"/>
    <d v="2025-03-20T00:00:00"/>
    <d v="2025-11-20T00:00:00"/>
    <x v="0"/>
    <n v="0"/>
  </r>
  <r>
    <n v="40"/>
    <d v="2025-10-21T00:00:00"/>
    <s v="Pinca V."/>
    <n v="477.48"/>
    <d v="2026-01-21T00:00:00"/>
    <m/>
    <d v="2025-11-20T00:00:00"/>
    <x v="1"/>
    <n v="0"/>
  </r>
  <r>
    <n v="41"/>
    <d v="2025-09-10T00:00:00"/>
    <s v="Risti"/>
    <n v="2900"/>
    <d v="2025-12-10T00:00:00"/>
    <d v="2025-12-15T00:00:00"/>
    <d v="2025-11-20T00:00:00"/>
    <x v="0"/>
    <n v="0"/>
  </r>
  <r>
    <n v="42"/>
    <d v="2025-05-28T00:00:00"/>
    <s v="Marini G."/>
    <n v="60"/>
    <d v="2025-08-28T00:00:00"/>
    <d v="2025-09-05T00:00:00"/>
    <d v="2025-11-20T00:00:00"/>
    <x v="0"/>
    <n v="0"/>
  </r>
  <r>
    <n v="43"/>
    <d v="2025-03-01T00:00:00"/>
    <s v="Lanza C."/>
    <n v="3284.5"/>
    <d v="2025-06-01T00:00:00"/>
    <d v="2025-06-20T00:00:00"/>
    <d v="2025-11-20T00:00:00"/>
    <x v="0"/>
    <n v="0"/>
  </r>
  <r>
    <n v="44"/>
    <d v="2026-01-07T00:00:00"/>
    <s v="Villani"/>
    <n v="750"/>
    <d v="2026-04-07T00:00:00"/>
    <m/>
    <d v="2025-11-20T00:00:00"/>
    <x v="1"/>
    <n v="0"/>
  </r>
  <r>
    <n v="45"/>
    <d v="2026-02-26T00:00:00"/>
    <s v="Trefoloni"/>
    <n v="7356"/>
    <d v="2026-05-26T00:00:00"/>
    <m/>
    <d v="2025-11-20T00:00:00"/>
    <x v="1"/>
    <n v="0"/>
  </r>
  <r>
    <n v="46"/>
    <d v="2025-08-19T00:00:00"/>
    <s v="Pinca S."/>
    <n v="3562"/>
    <d v="2025-11-19T00:00:00"/>
    <m/>
    <d v="2025-11-20T00:00:00"/>
    <x v="2"/>
    <n v="1"/>
  </r>
  <r>
    <n v="47"/>
    <d v="2025-12-14T00:00:00"/>
    <s v="Sereni"/>
    <n v="12000"/>
    <d v="2026-03-14T00:00:00"/>
    <m/>
    <d v="2025-11-20T00:00:00"/>
    <x v="1"/>
    <n v="0"/>
  </r>
  <r>
    <n v="48"/>
    <d v="2025-07-20T00:00:00"/>
    <s v="Rossi F."/>
    <n v="10200"/>
    <d v="2025-10-20T00:00:00"/>
    <d v="2025-11-01T00:00:00"/>
    <d v="2025-11-20T00:00:00"/>
    <x v="0"/>
    <n v="0"/>
  </r>
  <r>
    <n v="49"/>
    <d v="2026-02-10T00:00:00"/>
    <s v="Villani"/>
    <n v="140"/>
    <d v="2026-05-10T00:00:00"/>
    <m/>
    <d v="2025-11-20T00:00:00"/>
    <x v="1"/>
    <n v="0"/>
  </r>
  <r>
    <n v="50"/>
    <d v="2025-06-16T00:00:00"/>
    <s v="Scottà"/>
    <n v="10900"/>
    <d v="2025-09-16T00:00:00"/>
    <d v="2025-09-20T00:00:00"/>
    <d v="2025-11-20T00:00:00"/>
    <x v="0"/>
    <n v="0"/>
  </r>
  <r>
    <n v="51"/>
    <d v="2025-04-28T00:00:00"/>
    <s v="Lanza A."/>
    <n v="2500"/>
    <d v="2025-07-28T00:00:00"/>
    <d v="2026-04-17T00:00:00"/>
    <d v="2025-11-20T00:00:00"/>
    <x v="0"/>
    <n v="0"/>
  </r>
  <r>
    <n v="52"/>
    <d v="2026-02-10T00:00:00"/>
    <s v="Pinca V."/>
    <n v="8800"/>
    <d v="2026-05-10T00:00:00"/>
    <d v="2026-01-26T00:00:00"/>
    <d v="2025-11-20T00:00:00"/>
    <x v="0"/>
    <n v="0"/>
  </r>
  <r>
    <n v="53"/>
    <d v="2024-09-12T00:00:00"/>
    <s v="Marini E."/>
    <n v="1950"/>
    <d v="2025-03-12T00:00:00"/>
    <d v="2026-03-25T00:00:00"/>
    <d v="2025-11-20T00:00:00"/>
    <x v="0"/>
    <n v="0"/>
  </r>
  <r>
    <n v="54"/>
    <d v="2025-06-04T00:00:00"/>
    <s v="Rossi M."/>
    <n v="4789.84"/>
    <d v="2025-09-04T00:00:00"/>
    <d v="2025-11-05T00:00:00"/>
    <d v="2025-11-20T00:00:00"/>
    <x v="0"/>
    <n v="0"/>
  </r>
  <r>
    <n v="55"/>
    <d v="2025-09-17T00:00:00"/>
    <s v="Trefoloni"/>
    <n v="350"/>
    <d v="2025-12-17T00:00:00"/>
    <d v="2026-05-02T00:00:00"/>
    <d v="2025-11-20T00:00:00"/>
    <x v="0"/>
    <n v="0"/>
  </r>
  <r>
    <n v="56"/>
    <d v="2026-04-22T00:00:00"/>
    <s v="Bianchi R."/>
    <n v="1700"/>
    <d v="2026-07-22T00:00:00"/>
    <d v="2025-06-10T00:00:00"/>
    <d v="2025-11-20T00:00:00"/>
    <x v="0"/>
    <n v="0"/>
  </r>
  <r>
    <n v="57"/>
    <d v="2026-01-05T00:00:00"/>
    <s v="Villani"/>
    <n v="4600"/>
    <d v="2026-04-05T00:00:00"/>
    <d v="2025-08-28T00:00:00"/>
    <d v="2025-11-20T00:00:00"/>
    <x v="0"/>
    <n v="0"/>
  </r>
  <r>
    <n v="58"/>
    <d v="2025-10-13T00:00:00"/>
    <s v="Lanza C."/>
    <n v="550"/>
    <d v="2026-01-13T00:00:00"/>
    <d v="2025-12-20T00:00:00"/>
    <d v="2025-11-20T00:00:00"/>
    <x v="0"/>
    <n v="0"/>
  </r>
  <r>
    <n v="59"/>
    <s v="29/02/2025"/>
    <s v="Sereni"/>
    <n v="10500"/>
    <d v="2025-05-29T00:00:00"/>
    <d v="2026-03-15T00:00:00"/>
    <d v="2025-11-20T00:00:00"/>
    <x v="0"/>
    <n v="0"/>
  </r>
  <r>
    <n v="60"/>
    <d v="2025-08-08T00:00:00"/>
    <s v="Scottà"/>
    <n v="2500"/>
    <d v="2025-11-08T00:00:00"/>
    <m/>
    <d v="2025-11-20T00:00:00"/>
    <x v="2"/>
    <n v="12"/>
  </r>
  <r>
    <n v="61"/>
    <d v="2026-01-11T00:00:00"/>
    <s v="Marini G."/>
    <n v="1900"/>
    <d v="2026-04-11T00:00:00"/>
    <d v="2026-01-01T00:00:00"/>
    <d v="2025-11-20T00:00:00"/>
    <x v="0"/>
    <n v="0"/>
  </r>
  <r>
    <n v="62"/>
    <d v="2025-12-20T00:00:00"/>
    <s v="Risti"/>
    <n v="8400"/>
    <d v="2026-03-20T00:00:00"/>
    <d v="2026-07-20T00:00:00"/>
    <d v="2025-11-20T00:00:00"/>
    <x v="0"/>
    <n v="0"/>
  </r>
  <r>
    <n v="63"/>
    <d v="2025-11-07T00:00:00"/>
    <s v="Pinca S."/>
    <n v="3200"/>
    <d v="2026-02-07T00:00:00"/>
    <d v="2026-05-01T00:00:00"/>
    <d v="2025-11-20T00:00:00"/>
    <x v="0"/>
    <n v="0"/>
  </r>
  <r>
    <n v="64"/>
    <d v="2025-07-16T00:00:00"/>
    <s v="Rossi F."/>
    <n v="4700"/>
    <d v="2025-10-16T00:00:00"/>
    <d v="2026-03-01T00:00:00"/>
    <d v="2025-11-20T00:00:00"/>
    <x v="0"/>
    <n v="0"/>
  </r>
  <r>
    <n v="65"/>
    <d v="2026-02-02T00:00:00"/>
    <s v="Villani"/>
    <n v="1150"/>
    <d v="2026-05-02T00:00:00"/>
    <d v="2025-09-10T00:00:00"/>
    <d v="2025-11-20T00:00:00"/>
    <x v="0"/>
    <n v="0"/>
  </r>
  <r>
    <n v="66"/>
    <d v="2025-03-14T00:00:00"/>
    <s v="Fornari"/>
    <n v="5300"/>
    <d v="2025-06-14T00:00:00"/>
    <d v="2025-11-15T00:00:00"/>
    <d v="2025-11-20T00:00:00"/>
    <x v="0"/>
    <n v="0"/>
  </r>
  <r>
    <n v="67"/>
    <d v="2025-05-21T00:00:00"/>
    <s v="Bianchi A."/>
    <n v="15000"/>
    <d v="2025-08-21T00:00:00"/>
    <d v="2026-03-10T00:00:00"/>
    <d v="2025-11-20T00:00:00"/>
    <x v="0"/>
    <n v="0"/>
  </r>
  <r>
    <n v="68"/>
    <d v="2025-09-10T00:00:00"/>
    <s v="Trefoloni"/>
    <n v="650"/>
    <d v="2025-12-10T00:00:00"/>
    <d v="2026-01-15T00:00:00"/>
    <d v="2025-11-20T00:00:00"/>
    <x v="0"/>
    <n v="0"/>
  </r>
  <r>
    <n v="69"/>
    <d v="2025-10-26T00:00:00"/>
    <s v="Lanza A."/>
    <n v="2800"/>
    <d v="2026-01-26T00:00:00"/>
    <d v="2025-03-01T00:00:00"/>
    <d v="2025-11-20T00:00:00"/>
    <x v="0"/>
    <n v="0"/>
  </r>
  <r>
    <n v="70"/>
    <d v="2025-12-03T00:00:00"/>
    <s v="Pinca V."/>
    <n v="1850"/>
    <d v="2026-03-03T00:00:00"/>
    <d v="2025-11-10T00:00:00"/>
    <d v="2025-11-20T00:00:00"/>
    <x v="0"/>
    <n v="0"/>
  </r>
  <r>
    <n v="71"/>
    <d v="2025-04-07T00:00:00"/>
    <s v="Sereni"/>
    <n v="7100"/>
    <d v="2025-09-07T00:00:00"/>
    <d v="2026-01-18T00:00:00"/>
    <d v="2025-11-20T00:00:00"/>
    <x v="0"/>
    <n v="0"/>
  </r>
  <r>
    <n v="72"/>
    <d v="2026-04-19T00:00:00"/>
    <s v="Scottà"/>
    <n v="2600"/>
    <d v="2026-07-19T00:00:00"/>
    <d v="2026-03-15T00:00:00"/>
    <d v="2025-11-20T00:00:00"/>
    <x v="0"/>
    <n v="0"/>
  </r>
  <r>
    <n v="73"/>
    <d v="2025-01-01T00:00:00"/>
    <s v="Marini E."/>
    <n v="4400"/>
    <d v="2025-04-01T00:00:00"/>
    <d v="2026-02-10T00:00:00"/>
    <d v="2025-11-20T00:00:00"/>
    <x v="0"/>
    <n v="0"/>
  </r>
  <r>
    <n v="74"/>
    <d v="2025-11-11T00:00:00"/>
    <s v="Risti"/>
    <n v="9500"/>
    <d v="2026-02-11T00:00:00"/>
    <d v="2025-03-01T00:00:00"/>
    <d v="2025-11-20T00:00:00"/>
    <x v="0"/>
    <n v="0"/>
  </r>
  <r>
    <n v="75"/>
    <d v="2025-06-28T00:00:00"/>
    <s v="Villani"/>
    <n v="3300"/>
    <d v="2025-09-28T00:00:00"/>
    <d v="2025-11-20T00:00:00"/>
    <d v="2025-11-20T00:00:00"/>
    <x v="0"/>
    <n v="0"/>
  </r>
  <r>
    <n v="76"/>
    <d v="2025-08-09T00:00:00"/>
    <s v="Fornari"/>
    <n v="1550"/>
    <d v="2025-11-09T00:00:00"/>
    <d v="2025-08-25T00:00:00"/>
    <d v="2025-11-20T00:00:00"/>
    <x v="0"/>
    <n v="0"/>
  </r>
  <r>
    <n v="77"/>
    <d v="2026-02-04T00:00:00"/>
    <s v="Pinca S."/>
    <n v="5900"/>
    <d v="2026-05-04T00:00:00"/>
    <d v="2026-05-15T00:00:00"/>
    <d v="2025-11-20T00:00:00"/>
    <x v="0"/>
    <n v="0"/>
  </r>
  <r>
    <n v="78"/>
    <d v="2025-10-18T00:00:00"/>
    <s v="Trefoloni"/>
    <n v="2750"/>
    <d v="2026-01-18T00:00:00"/>
    <m/>
    <d v="2025-11-20T00:00:00"/>
    <x v="1"/>
    <n v="0"/>
  </r>
  <r>
    <n v="79"/>
    <d v="2024-12-01T00:00:00"/>
    <s v="Rossi M."/>
    <n v="1000"/>
    <d v="2025-03-01T00:00:00"/>
    <d v="2026-05-25T00:00:00"/>
    <d v="2025-11-20T00:00:00"/>
    <x v="0"/>
    <n v="0"/>
  </r>
  <r>
    <n v="80"/>
    <d v="2025-07-23T00:00:00"/>
    <s v="Lanza C."/>
    <n v="6800"/>
    <d v="2025-10-23T00:00:00"/>
    <d v="2026-03-20T00:00:00"/>
    <d v="2025-11-20T00:00:00"/>
    <x v="0"/>
    <n v="0"/>
  </r>
  <r>
    <n v="81"/>
    <d v="2026-04-15T00:00:00"/>
    <s v="Sereni"/>
    <n v="1890.5"/>
    <d v="2026-07-15T00:00:00"/>
    <d v="2025-10-20T00:00:00"/>
    <d v="2025-11-20T00:00:00"/>
    <x v="0"/>
    <n v="0"/>
  </r>
  <r>
    <n v="82"/>
    <d v="2026-03-06T00:00:00"/>
    <s v="Bianchi R."/>
    <n v="4100"/>
    <d v="2026-03-06T00:00:00"/>
    <d v="2026-03-10T00:00:00"/>
    <d v="2025-11-20T00:00:00"/>
    <x v="0"/>
    <n v="0"/>
  </r>
  <r>
    <n v="83"/>
    <d v="2025-06-20T00:00:00"/>
    <s v="Villani"/>
    <n v="750"/>
    <d v="2025-09-20T00:00:00"/>
    <d v="2025-06-01T00:00:00"/>
    <d v="2025-11-20T00:00:00"/>
    <x v="0"/>
    <n v="0"/>
  </r>
  <r>
    <n v="84"/>
    <d v="2026-01-17T00:00:00"/>
    <s v="Pinca V."/>
    <n v="2980"/>
    <d v="2026-04-17T00:00:00"/>
    <d v="2025-07-01T00:00:00"/>
    <d v="2025-11-20T00:00:00"/>
    <x v="0"/>
    <n v="0"/>
  </r>
  <r>
    <n v="85"/>
    <d v="2025-08-29T00:00:00"/>
    <s v="Marini G."/>
    <n v="1250"/>
    <d v="2025-11-29T00:00:00"/>
    <d v="2025-09-01T00:00:00"/>
    <d v="2025-11-20T00:00:00"/>
    <x v="0"/>
    <n v="0"/>
  </r>
  <r>
    <n v="86"/>
    <d v="2025-09-14T00:00:00"/>
    <s v="Risti"/>
    <n v="9870.2999999999993"/>
    <d v="2025-12-14T00:00:00"/>
    <d v="2026-04-10T00:00:00"/>
    <d v="2025-11-20T00:00:00"/>
    <x v="0"/>
    <n v="0"/>
  </r>
  <r>
    <n v="87"/>
    <d v="2025-04-08T00:00:00"/>
    <s v="Scottà"/>
    <n v="645"/>
    <d v="2025-07-08T00:00:00"/>
    <d v="2026-02-25T00:00:00"/>
    <d v="2025-11-20T00:00:00"/>
    <x v="0"/>
    <n v="0"/>
  </r>
  <r>
    <n v="88"/>
    <d v="2025-11-03T00:00:00"/>
    <s v="Fornari"/>
    <n v="3200"/>
    <d v="2026-02-03T00:00:00"/>
    <d v="2025-06-10T00:00:00"/>
    <d v="2025-11-20T00:00:00"/>
    <x v="0"/>
    <n v="0"/>
  </r>
  <r>
    <n v="89"/>
    <d v="2025-08-24T00:00:00"/>
    <s v="Sereni"/>
    <n v="150"/>
    <d v="2025-11-24T00:00:00"/>
    <d v="2026-01-01T00:00:00"/>
    <d v="2025-11-20T00:00:00"/>
    <x v="0"/>
    <n v="0"/>
  </r>
  <r>
    <n v="90"/>
    <d v="2025-02-10T00:00:00"/>
    <s v="Trefoloni"/>
    <n v="11230"/>
    <d v="2025-05-10T00:00:00"/>
    <d v="2026-03-20T00:00:00"/>
    <d v="2025-11-20T00:00:00"/>
    <x v="0"/>
    <n v="0"/>
  </r>
  <r>
    <n v="91"/>
    <d v="2026-01-06T00:00:00"/>
    <s v="Bianchi A."/>
    <n v="4500"/>
    <d v="2026-04-06T00:00:00"/>
    <d v="2026-03-15T00:00:00"/>
    <d v="2025-11-20T00:00:00"/>
    <x v="0"/>
    <n v="0"/>
  </r>
  <r>
    <n v="92"/>
    <d v="2025-10-19T00:00:00"/>
    <s v="Lanza A."/>
    <n v="7890"/>
    <d v="2026-01-19T00:00:00"/>
    <d v="2026-02-01T00:00:00"/>
    <d v="2025-11-20T00:00:00"/>
    <x v="0"/>
    <n v="0"/>
  </r>
  <r>
    <n v="93"/>
    <d v="2025-07-01T00:00:00"/>
    <s v="Pinca S."/>
    <n v="1050"/>
    <d v="2025-10-01T00:00:00"/>
    <d v="2026-04-01T00:00:00"/>
    <d v="2025-11-20T00:00:00"/>
    <x v="0"/>
    <n v="0"/>
  </r>
  <r>
    <n v="94"/>
    <d v="2025-12-15T00:00:00"/>
    <s v="Rossi F."/>
    <n v="3450.9"/>
    <d v="2026-03-15T00:00:00"/>
    <d v="2026-03-15T00:00:00"/>
    <d v="2025-11-20T00:00:00"/>
    <x v="0"/>
    <n v="0"/>
  </r>
  <r>
    <n v="95"/>
    <d v="2025-05-09T00:00:00"/>
    <s v="Villani"/>
    <n v="2150"/>
    <d v="2025-08-09T00:00:00"/>
    <d v="2025-11-20T00:00:00"/>
    <d v="2025-11-20T00:00:00"/>
    <x v="0"/>
    <n v="0"/>
  </r>
  <r>
    <n v="96"/>
    <d v="2025-09-04T00:00:00"/>
    <s v="Marini E."/>
    <n v="99.5"/>
    <d v="2025-12-04T00:00:00"/>
    <d v="2026-01-20T00:00:00"/>
    <d v="2025-11-20T00:00:00"/>
    <x v="0"/>
    <n v="0"/>
  </r>
  <r>
    <n v="97"/>
    <d v="2026-04-18T00:00:00"/>
    <s v="Sereni"/>
    <n v="12000"/>
    <d v="2026-07-18T00:00:00"/>
    <d v="2026-03-10T00:00:00"/>
    <d v="2025-11-20T00:00:00"/>
    <x v="0"/>
    <n v="0"/>
  </r>
  <r>
    <n v="98"/>
    <d v="2025-01-23T00:00:00"/>
    <s v="Scottà"/>
    <n v="350"/>
    <d v="2025-04-23T00:00:00"/>
    <d v="2026-01-15T00:00:00"/>
    <d v="2025-11-20T00:00:00"/>
    <x v="0"/>
    <n v="0"/>
  </r>
  <r>
    <n v="99"/>
    <d v="2025-12-07T00:00:00"/>
    <s v="Risti"/>
    <n v="6700"/>
    <d v="2026-03-07T00:00:00"/>
    <d v="2025-06-01T00:00:00"/>
    <d v="2025-11-20T00:00:00"/>
    <x v="0"/>
    <n v="0"/>
  </r>
  <r>
    <n v="100"/>
    <d v="2026-02-21T00:00:00"/>
    <s v="Fornari"/>
    <n v="1450"/>
    <d v="2026-05-21T00:00:00"/>
    <d v="2025-09-01T00:00:00"/>
    <d v="2025-11-20T00:00:00"/>
    <x v="0"/>
    <n v="0"/>
  </r>
  <r>
    <n v="101"/>
    <d v="2025-07-05T00:00:00"/>
    <s v="Pinca V."/>
    <n v="8200"/>
    <d v="2025-10-05T00:00:00"/>
    <d v="2025-09-20T00:00:00"/>
    <d v="2025-11-20T00:00:00"/>
    <x v="0"/>
    <n v="0"/>
  </r>
  <r>
    <n v="102"/>
    <d v="2025-08-29T00:00:00"/>
    <s v="Trefoloni"/>
    <n v="500"/>
    <d v="2025-11-29T00:00:00"/>
    <d v="2026-04-15T00:00:00"/>
    <d v="2025-11-20T00:00:00"/>
    <x v="0"/>
    <n v="0"/>
  </r>
  <r>
    <n v="103"/>
    <d v="2026-01-11T00:00:00"/>
    <s v="Lanza C."/>
    <n v="3750"/>
    <d v="2026-04-11T00:00:00"/>
    <m/>
    <d v="2025-11-20T00:00:00"/>
    <x v="1"/>
    <n v="0"/>
  </r>
  <r>
    <n v="104"/>
    <d v="2025-12-14T00:00:00"/>
    <s v="Villani"/>
    <n v="2900"/>
    <d v="2026-03-14T00:00:00"/>
    <d v="2025-09-24T00:00:00"/>
    <d v="2025-11-20T00:00:00"/>
    <x v="0"/>
    <n v="0"/>
  </r>
  <r>
    <n v="105"/>
    <d v="2026-02-03T00:00:00"/>
    <s v="Rossi M."/>
    <n v="1600"/>
    <d v="2026-05-03T00:00:00"/>
    <m/>
    <d v="2025-11-20T00:00:00"/>
    <x v="1"/>
    <n v="0"/>
  </r>
  <r>
    <n v="106"/>
    <d v="2025-06-16T00:00:00"/>
    <s v="Bianchi R."/>
    <n v="450"/>
    <d v="2025-09-16T00:00:00"/>
    <d v="2026-03-10T00:00:00"/>
    <d v="2025-11-20T00:00:00"/>
    <x v="0"/>
    <n v="0"/>
  </r>
  <r>
    <n v="107"/>
    <d v="2025-10-01T00:00:00"/>
    <s v="Marini G."/>
    <n v="1830"/>
    <d v="2026-01-01T00:00:00"/>
    <m/>
    <d v="2025-11-20T00:00:00"/>
    <x v="1"/>
    <n v="0"/>
  </r>
  <r>
    <n v="108"/>
    <d v="2025-02-27T00:00:00"/>
    <s v="Pinca S."/>
    <n v="9000"/>
    <d v="2025-05-27T00:00:00"/>
    <d v="2026-05-10T00:00:00"/>
    <d v="2025-11-20T00:00:00"/>
    <x v="0"/>
    <n v="0"/>
  </r>
  <r>
    <n v="109"/>
    <d v="2025-11-19T00:00:00"/>
    <s v="Sereni"/>
    <n v="125"/>
    <d v="2026-02-19T00:00:00"/>
    <d v="2025-09-01T00:00:00"/>
    <d v="2025-11-20T00:00:00"/>
    <x v="0"/>
    <n v="0"/>
  </r>
  <r>
    <n v="110"/>
    <d v="2025-09-12T00:00:00"/>
    <s v="Scottà"/>
    <n v="5100"/>
    <d v="2025-12-12T00:00:00"/>
    <d v="2025-08-20T00:00:00"/>
    <d v="2025-11-20T00:00:00"/>
    <x v="0"/>
    <n v="0"/>
  </r>
  <r>
    <n v="111"/>
    <d v="2025-01-08T00:00:00"/>
    <s v="Risti"/>
    <n v="1100"/>
    <d v="2025-04-08T00:00:00"/>
    <d v="2026-05-20T00:00:00"/>
    <d v="2025-11-20T00:00:00"/>
    <x v="0"/>
    <n v="0"/>
  </r>
  <r>
    <n v="112"/>
    <d v="2025-06-04T00:00:00"/>
    <s v="Villani"/>
    <n v="15000"/>
    <d v="2025-09-04T00:00:00"/>
    <m/>
    <d v="2025-11-20T00:00:00"/>
    <x v="2"/>
    <n v="77"/>
  </r>
  <r>
    <n v="113"/>
    <d v="2026-04-21T00:00:00"/>
    <s v="Fornari"/>
    <n v="2340"/>
    <d v="2026-07-21T00:00:00"/>
    <m/>
    <d v="2025-11-20T00:00:00"/>
    <x v="1"/>
    <n v="0"/>
  </r>
  <r>
    <n v="114"/>
    <d v="2026-03-15T00:00:00"/>
    <s v="Pinca V."/>
    <n v="7900"/>
    <d v="2026-06-15T00:00:00"/>
    <d v="2025-12-20T00:00:00"/>
    <d v="2025-11-20T00:00:00"/>
    <x v="0"/>
    <n v="0"/>
  </r>
  <r>
    <n v="115"/>
    <d v="2025-08-03T00:00:00"/>
    <s v="Trefoloni"/>
    <n v="400"/>
    <d v="2025-11-03T00:00:00"/>
    <d v="2026-04-15T00:00:00"/>
    <d v="2025-11-20T00:00:00"/>
    <x v="0"/>
    <n v="0"/>
  </r>
  <r>
    <n v="116"/>
    <d v="2025-12-28T00:00:00"/>
    <s v="Lanza A."/>
    <n v="1700"/>
    <d v="2026-03-28T00:00:00"/>
    <d v="2025-06-01T00:00:00"/>
    <d v="2025-11-20T00:00:00"/>
    <x v="0"/>
    <n v="0"/>
  </r>
  <r>
    <n v="117"/>
    <d v="2025-10-09T00:00:00"/>
    <s v="Rossi F."/>
    <n v="5600"/>
    <d v="2026-01-09T00:00:00"/>
    <m/>
    <d v="2025-11-20T00:00:00"/>
    <x v="1"/>
    <n v="0"/>
  </r>
  <r>
    <n v="118"/>
    <d v="2026-02-20T00:00:00"/>
    <s v="Bianchi A."/>
    <n v="9200"/>
    <d v="2026-05-20T00:00:00"/>
    <d v="2025-11-15T00:00:00"/>
    <d v="2025-11-20T00:00:00"/>
    <x v="0"/>
    <n v="0"/>
  </r>
  <r>
    <n v="119"/>
    <d v="2025-04-01T00:00:00"/>
    <s v="Sereni"/>
    <n v="3100"/>
    <d v="2025-07-01T00:00:00"/>
    <d v="2026-03-20T00:00:00"/>
    <d v="2025-11-20T00:00:00"/>
    <x v="0"/>
    <n v="0"/>
  </r>
  <r>
    <n v="120"/>
    <d v="2026-01-14T00:00:00"/>
    <s v="Marini E."/>
    <n v="1200"/>
    <d v="2026-04-14T00:00:00"/>
    <d v="2025-07-01T00:00:00"/>
    <d v="2025-11-20T00:00:00"/>
    <x v="0"/>
    <n v="0"/>
  </r>
  <r>
    <n v="121"/>
    <d v="2025-11-26T00:00:00"/>
    <s v="Villani"/>
    <n v="800"/>
    <d v="2026-02-26T00:00:00"/>
    <d v="2025-11-20T00:00:00"/>
    <d v="2025-11-20T00:00:00"/>
    <x v="0"/>
    <n v="0"/>
  </r>
  <r>
    <n v="122"/>
    <d v="2025-09-10T00:00:00"/>
    <s v="Risti"/>
    <n v="5500"/>
    <d v="2025-12-10T00:00:00"/>
    <m/>
    <d v="2025-11-20T00:00:00"/>
    <x v="1"/>
    <n v="0"/>
  </r>
  <r>
    <n v="123"/>
    <d v="2026-01-05T00:00:00"/>
    <s v="Pinca S."/>
    <n v="12500"/>
    <d v="2026-04-05T00:00:00"/>
    <d v="2026-05-20T00:00:00"/>
    <d v="2025-11-20T00:00:00"/>
    <x v="0"/>
    <n v="0"/>
  </r>
  <r>
    <n v="124"/>
    <d v="2025-08-23T00:00:00"/>
    <s v="Scottà"/>
    <n v="4800"/>
    <d v="2025-11-23T00:00:00"/>
    <d v="2025-08-01T00:00:00"/>
    <d v="2025-11-20T00:00:00"/>
    <x v="0"/>
    <n v="0"/>
  </r>
  <r>
    <n v="125"/>
    <d v="2025-12-17T00:00:00"/>
    <s v="Trefoloni"/>
    <n v="1950"/>
    <d v="2026-03-17T00:00:00"/>
    <m/>
    <d v="2025-11-20T00:00:00"/>
    <x v="1"/>
    <n v="0"/>
  </r>
  <r>
    <n v="126"/>
    <d v="2025-06-19T00:00:00"/>
    <s v="Lanza C."/>
    <n v="6000"/>
    <d v="2025-09-19T00:00:00"/>
    <d v="2025-12-10T00:00:00"/>
    <d v="2025-11-20T00:00:00"/>
    <x v="0"/>
    <n v="0"/>
  </r>
  <r>
    <n v="127"/>
    <d v="2024-12-08T00:00:00"/>
    <s v="Rossi M."/>
    <n v="300"/>
    <d v="2025-03-08T00:00:00"/>
    <d v="2026-02-15T00:00:00"/>
    <d v="2025-11-20T00:00:00"/>
    <x v="0"/>
    <n v="0"/>
  </r>
  <r>
    <n v="128"/>
    <d v="2025-11-02T00:00:00"/>
    <s v="Bianchi R."/>
    <n v="250"/>
    <d v="2026-02-02T00:00:00"/>
    <d v="2026-03-10T00:00:00"/>
    <d v="2025-11-20T00:00:00"/>
    <x v="0"/>
    <n v="0"/>
  </r>
  <r>
    <n v="129"/>
    <d v="2026-01-20T00:00:00"/>
    <s v="Villani"/>
    <n v="8800"/>
    <d v="2026-04-20T00:00:00"/>
    <d v="2026-07-20T00:00:00"/>
    <d v="2025-11-20T00:00:00"/>
    <x v="0"/>
    <n v="0"/>
  </r>
  <r>
    <n v="130"/>
    <d v="2025-04-06T00:00:00"/>
    <s v="Marini G."/>
    <n v="1100"/>
    <d v="2025-07-06T00:00:00"/>
    <d v="2026-04-20T00:00:00"/>
    <d v="2025-11-20T00:00:00"/>
    <x v="0"/>
    <n v="0"/>
  </r>
  <r>
    <n v="131"/>
    <d v="2026-02-13T00:00:00"/>
    <s v="Fornari"/>
    <n v="4300"/>
    <d v="2026-05-13T00:00:00"/>
    <d v="2026-05-15T00:00:00"/>
    <d v="2025-11-20T00:00:00"/>
    <x v="0"/>
    <n v="0"/>
  </r>
  <r>
    <n v="132"/>
    <d v="2025-10-18T00:00:00"/>
    <s v="Pinca V."/>
    <n v="900"/>
    <d v="2026-01-18T00:00:00"/>
    <d v="2026-03-10T00:00:00"/>
    <d v="2025-11-20T00:00:00"/>
    <x v="0"/>
    <n v="0"/>
  </r>
  <r>
    <n v="133"/>
    <d v="2025-07-24T00:00:00"/>
    <s v="Sereni"/>
    <n v="1750"/>
    <d v="2025-10-24T00:00:00"/>
    <d v="2025-06-01T00:00:00"/>
    <d v="2025-11-20T00:00:00"/>
    <x v="0"/>
    <n v="0"/>
  </r>
  <r>
    <n v="134"/>
    <d v="2026-01-07T00:00:00"/>
    <s v="Risti"/>
    <n v="2900"/>
    <d v="2026-04-07T00:00:00"/>
    <d v="2026-01-15T00:00:00"/>
    <d v="2025-11-20T00:00:00"/>
    <x v="0"/>
    <n v="0"/>
  </r>
  <r>
    <n v="135"/>
    <d v="2025-12-29T00:00:00"/>
    <s v="Trefoloni"/>
    <n v="6200"/>
    <d v="2026-03-29T00:00:00"/>
    <d v="2025-11-10T00:00:00"/>
    <d v="2025-11-20T00:00:00"/>
    <x v="0"/>
    <n v="0"/>
  </r>
  <r>
    <n v="136"/>
    <d v="2025-08-10T00:00:00"/>
    <s v="Lanza A."/>
    <n v="3600"/>
    <d v="2025-11-10T00:00:00"/>
    <d v="2026-03-10T00:00:00"/>
    <d v="2025-11-20T00:00:00"/>
    <x v="0"/>
    <n v="0"/>
  </r>
  <r>
    <n v="137"/>
    <d v="2026-02-04T00:00:00"/>
    <s v="Rossi F."/>
    <n v="1500"/>
    <d v="2026-05-04T00:00:00"/>
    <d v="2026-05-10T00:00:00"/>
    <d v="2025-11-20T00:00:00"/>
    <x v="0"/>
    <n v="0"/>
  </r>
  <r>
    <n v="138"/>
    <d v="2025-09-12T00:00:00"/>
    <s v="Bianchi A."/>
    <n v="4900"/>
    <d v="2026-03-12T00:00:00"/>
    <d v="2025-11-20T00:00:00"/>
    <d v="2025-11-20T00:00:00"/>
    <x v="0"/>
    <n v="0"/>
  </r>
  <r>
    <n v="139"/>
    <d v="2025-03-01T00:00:00"/>
    <s v="Villani"/>
    <n v="2100"/>
    <d v="2025-06-01T00:00:00"/>
    <d v="2026-01-10T00:00:00"/>
    <d v="2025-11-20T00:00:00"/>
    <x v="0"/>
    <n v="0"/>
  </r>
  <r>
    <n v="140"/>
    <d v="2025-08-17T00:00:00"/>
    <s v="Marini E."/>
    <n v="7300"/>
    <d v="2025-11-17T00:00:00"/>
    <d v="2026-03-15T00:00:00"/>
    <d v="2025-11-20T00:00:00"/>
    <x v="0"/>
    <n v="0"/>
  </r>
  <r>
    <n v="141"/>
    <d v="2025-05-21T00:00:00"/>
    <s v="Pinca S."/>
    <n v="180"/>
    <d v="2025-08-21T00:00:00"/>
    <d v="2025-07-01T00:00:00"/>
    <d v="2025-11-20T00:00:00"/>
    <x v="0"/>
    <n v="0"/>
  </r>
  <r>
    <n v="142"/>
    <d v="2025-10-15T00:00:00"/>
    <s v="Scottà"/>
    <n v="5400"/>
    <d v="2026-01-15T00:00:00"/>
    <d v="2026-03-15T00:00:00"/>
    <d v="2025-11-20T00:00:00"/>
    <x v="0"/>
    <n v="0"/>
  </r>
  <r>
    <n v="143"/>
    <d v="2026-04-28T00:00:00"/>
    <s v="Sereni"/>
    <n v="1350"/>
    <d v="2026-07-28T00:00:00"/>
    <m/>
    <d v="2025-11-20T00:00:00"/>
    <x v="1"/>
    <n v="0"/>
  </r>
  <r>
    <n v="144"/>
    <d v="2025-02-03T00:00:00"/>
    <s v="Risti"/>
    <n v="9800"/>
    <d v="2025-05-03T00:00:00"/>
    <d v="2026-05-20T00:00:00"/>
    <d v="2025-11-20T00:00:00"/>
    <x v="0"/>
    <n v="0"/>
  </r>
  <r>
    <n v="145"/>
    <d v="2025-07-16T00:00:00"/>
    <s v="Fornari"/>
    <n v="450"/>
    <d v="2025-10-16T00:00:00"/>
    <d v="2026-05-20T00:00:00"/>
    <d v="2025-11-20T00:00:00"/>
    <x v="0"/>
    <n v="0"/>
  </r>
  <r>
    <n v="146"/>
    <d v="2025-11-08T00:00:00"/>
    <s v="Trefoloni"/>
    <n v="2700"/>
    <d v="2026-02-08T00:00:00"/>
    <d v="2026-05-01T00:00:00"/>
    <d v="2025-11-20T00:00:00"/>
    <x v="0"/>
    <n v="0"/>
  </r>
  <r>
    <n v="147"/>
    <d v="2025-09-23T00:00:00"/>
    <s v="Pinca V."/>
    <n v="6500"/>
    <d v="2025-12-23T00:00:00"/>
    <d v="2026-03-15T00:00:00"/>
    <d v="2025-11-20T00:00:00"/>
    <x v="0"/>
    <n v="0"/>
  </r>
  <r>
    <n v="148"/>
    <d v="2025-12-11T00:00:00"/>
    <s v="Lanza C."/>
    <n v="3900"/>
    <d v="2026-03-11T00:00:00"/>
    <d v="2025-11-20T00:00:00"/>
    <d v="2025-11-20T00:00:00"/>
    <x v="0"/>
    <n v="0"/>
  </r>
  <r>
    <n v="149"/>
    <d v="2026-04-20T00:00:00"/>
    <s v="Villani"/>
    <n v="8100"/>
    <d v="2026-07-20T00:00:00"/>
    <d v="2026-03-15T00:00:00"/>
    <d v="2025-11-20T00:00:00"/>
    <x v="0"/>
    <n v="0"/>
  </r>
  <r>
    <n v="150"/>
    <d v="2025-06-05T00:00:00"/>
    <s v="Rossi M."/>
    <n v="12000"/>
    <d v="2025-09-05T00:00:00"/>
    <d v="2025-09-20T00:00:00"/>
    <d v="2025-11-20T00:00:00"/>
    <x v="0"/>
    <n v="0"/>
  </r>
  <r>
    <n v="151"/>
    <d v="2026-01-17T00:00:00"/>
    <s v="Bianchi R."/>
    <n v="2200"/>
    <d v="2026-04-17T00:00:00"/>
    <d v="2025-05-01T00:00:00"/>
    <d v="2025-11-20T00:00:00"/>
    <x v="0"/>
    <n v="0"/>
  </r>
  <r>
    <n v="152"/>
    <d v="2026-02-12T00:00:00"/>
    <s v="Marini G."/>
    <n v="1400"/>
    <d v="2026-05-12T00:00:00"/>
    <d v="2026-03-10T00:00:00"/>
    <d v="2025-11-20T00:00:00"/>
    <x v="0"/>
    <n v="0"/>
  </r>
  <r>
    <n v="153"/>
    <d v="2025-05-25T00:00:00"/>
    <s v="Scottà"/>
    <n v="7700"/>
    <d v="2025-08-25T00:00:00"/>
    <d v="2025-05-20T00:00:00"/>
    <d v="2025-11-20T00:00:00"/>
    <x v="0"/>
    <n v="0"/>
  </r>
  <r>
    <n v="154"/>
    <d v="2025-12-10T00:00:00"/>
    <s v="Pinca S."/>
    <n v="3500"/>
    <d v="2026-03-10T00:00:00"/>
    <d v="2025-09-20T00:00:00"/>
    <d v="2025-11-20T00:00:00"/>
    <x v="0"/>
    <n v="0"/>
  </r>
  <r>
    <n v="155"/>
    <d v="2025-02-01T00:00:00"/>
    <s v="Sereni"/>
    <n v="9000"/>
    <d v="2025-05-01T00:00:00"/>
    <m/>
    <d v="2025-11-20T00:00:00"/>
    <x v="2"/>
    <n v="203"/>
  </r>
  <r>
    <n v="156"/>
    <d v="2025-06-15T00:00:00"/>
    <s v="Risti"/>
    <n v="1600"/>
    <d v="2025-09-15T00:00:00"/>
    <m/>
    <d v="2025-11-20T00:00:00"/>
    <x v="2"/>
    <n v="66"/>
  </r>
  <r>
    <n v="157"/>
    <d v="2025-08-05T00:00:00"/>
    <s v="Fornari"/>
    <n v="4600"/>
    <d v="2025-11-05T00:00:00"/>
    <d v="2025-04-25T00:00:00"/>
    <d v="2025-11-20T00:00:00"/>
    <x v="0"/>
    <n v="0"/>
  </r>
  <r>
    <n v="158"/>
    <d v="2026-04-20T00:00:00"/>
    <s v="Trefoloni"/>
    <n v="550"/>
    <d v="2026-07-20T00:00:00"/>
    <d v="2026-01-25T00:00:00"/>
    <d v="2025-11-20T00:00:00"/>
    <x v="0"/>
    <n v="0"/>
  </r>
  <r>
    <n v="159"/>
    <d v="2025-01-11T00:00:00"/>
    <s v="Villani"/>
    <n v="10500"/>
    <d v="2025-04-11T00:00:00"/>
    <d v="2025-03-20T00:00:00"/>
    <d v="2025-11-20T00:00:00"/>
    <x v="0"/>
    <n v="0"/>
  </r>
  <r>
    <n v="160"/>
    <d v="2025-10-03T00:00:00"/>
    <s v="Lanza A."/>
    <n v="2500"/>
    <d v="2026-01-03T00:00:00"/>
    <m/>
    <d v="2025-11-20T00:00:00"/>
    <x v="1"/>
    <n v="0"/>
  </r>
  <r>
    <n v="161"/>
    <d v="2024-12-18T00:00:00"/>
    <s v="Rossi F."/>
    <n v="1900"/>
    <d v="2025-03-18T00:00:00"/>
    <d v="2025-05-05T00:00:00"/>
    <d v="2025-11-20T00:00:00"/>
    <x v="0"/>
    <n v="0"/>
  </r>
  <r>
    <n v="162"/>
    <d v="2025-11-02T00:00:00"/>
    <s v="Bianchi A."/>
    <n v="8400"/>
    <d v="2026-02-02T00:00:00"/>
    <m/>
    <d v="2025-11-20T00:00:00"/>
    <x v="1"/>
    <n v="0"/>
  </r>
  <r>
    <n v="163"/>
    <d v="2025-01-29T00:00:00"/>
    <s v="Marini E."/>
    <n v="3200"/>
    <d v="2025-04-29T00:00:00"/>
    <d v="2025-08-01T00:00:00"/>
    <d v="2025-11-20T00:00:00"/>
    <x v="0"/>
    <n v="0"/>
  </r>
  <r>
    <n v="164"/>
    <d v="2025-09-14T00:00:00"/>
    <s v="Pinca V."/>
    <n v="4700"/>
    <d v="2025-12-14T00:00:00"/>
    <m/>
    <d v="2025-11-20T00:00:00"/>
    <x v="1"/>
    <n v="0"/>
  </r>
  <r>
    <n v="165"/>
    <d v="2025-04-08T00:00:00"/>
    <s v="Sereni"/>
    <n v="1150"/>
    <d v="2025-07-08T00:00:00"/>
    <m/>
    <d v="2025-11-20T00:00:00"/>
    <x v="2"/>
    <n v="135"/>
  </r>
  <r>
    <n v="166"/>
    <d v="2025-10-22T00:00:00"/>
    <s v="Scottà"/>
    <n v="5300"/>
    <d v="2026-01-22T00:00:00"/>
    <d v="2025-06-15T00:00:00"/>
    <d v="2025-11-20T00:00:00"/>
    <x v="0"/>
    <n v="0"/>
  </r>
  <r>
    <n v="167"/>
    <d v="2026-01-17T00:00:00"/>
    <s v="Risti"/>
    <n v="15000"/>
    <d v="2026-04-17T00:00:00"/>
    <m/>
    <d v="2025-11-20T00:00:00"/>
    <x v="1"/>
    <n v="0"/>
  </r>
  <r>
    <n v="168"/>
    <d v="2025-03-06T00:00:00"/>
    <s v="Fornari"/>
    <n v="650"/>
    <d v="2025-06-06T00:00:00"/>
    <m/>
    <d v="2025-11-20T00:00:00"/>
    <x v="2"/>
    <n v="167"/>
  </r>
  <r>
    <n v="169"/>
    <d v="2025-12-09T00:00:00"/>
    <s v="Villani"/>
    <n v="2800"/>
    <d v="2026-03-09T00:00:00"/>
    <d v="2025-04-20T00:00:00"/>
    <d v="2025-11-20T00:00:00"/>
    <x v="0"/>
    <n v="0"/>
  </r>
  <r>
    <n v="170"/>
    <d v="2025-11-19T00:00:00"/>
    <s v="Trefoloni"/>
    <n v="1850"/>
    <d v="2026-02-19T00:00:00"/>
    <d v="2025-11-01T00:00:00"/>
    <d v="2025-11-20T00:00:00"/>
    <x v="0"/>
    <n v="0"/>
  </r>
  <r>
    <n v="171"/>
    <d v="2025-01-21T00:00:00"/>
    <s v="Lanza C."/>
    <n v="7100"/>
    <d v="2025-04-21T00:00:00"/>
    <m/>
    <d v="2025-11-20T00:00:00"/>
    <x v="2"/>
    <n v="213"/>
  </r>
  <r>
    <n v="172"/>
    <d v="2025-07-04T00:00:00"/>
    <s v="Rossi M."/>
    <n v="2600"/>
    <d v="2025-10-04T00:00:00"/>
    <d v="2026-01-01T00:00:00"/>
    <d v="2025-11-20T00:00:00"/>
    <x v="0"/>
    <n v="0"/>
  </r>
  <r>
    <n v="173"/>
    <d v="2025-12-07T00:00:00"/>
    <s v="Bianchi R."/>
    <n v="4400"/>
    <d v="2026-03-07T00:00:00"/>
    <m/>
    <d v="2025-11-20T00:00:00"/>
    <x v="1"/>
    <n v="0"/>
  </r>
  <r>
    <n v="174"/>
    <d v="2025-09-23T00:00:00"/>
    <s v="Marini G."/>
    <n v="9500"/>
    <d v="2025-12-23T00:00:00"/>
    <d v="2025-07-15T00:00:00"/>
    <d v="2025-11-20T00:00:00"/>
    <x v="0"/>
    <n v="0"/>
  </r>
  <r>
    <n v="175"/>
    <d v="2026-02-13T00:00:00"/>
    <s v="Pinca S."/>
    <n v="3300"/>
    <d v="2026-05-13T00:00:00"/>
    <m/>
    <d v="2025-11-20T00:00:00"/>
    <x v="1"/>
    <n v="0"/>
  </r>
  <r>
    <n v="176"/>
    <d v="2025-04-01T00:00:00"/>
    <s v="Sereni"/>
    <n v="1550"/>
    <d v="2025-07-01T00:00:00"/>
    <d v="2025-06-05T00:00:00"/>
    <d v="2025-11-20T00:00:00"/>
    <x v="0"/>
    <n v="0"/>
  </r>
  <r>
    <n v="177"/>
    <d v="2025-12-17T00:00:00"/>
    <s v="Scottà"/>
    <n v="5900"/>
    <d v="2026-03-17T00:00:00"/>
    <d v="2025-11-10T00:00:00"/>
    <d v="2025-11-20T00:00:00"/>
    <x v="0"/>
    <n v="0"/>
  </r>
  <r>
    <n v="178"/>
    <d v="2025-02-28T00:00:00"/>
    <s v="Risti"/>
    <n v="2750"/>
    <d v="2025-05-28T00:00:00"/>
    <m/>
    <d v="2025-11-20T00:00:00"/>
    <x v="2"/>
    <n v="176"/>
  </r>
  <r>
    <n v="179"/>
    <d v="2025-08-02T00:00:00"/>
    <s v="Villani"/>
    <n v="1000"/>
    <d v="2025-11-02T00:00:00"/>
    <d v="2025-04-20T00:00:00"/>
    <d v="2025-11-20T00:00:00"/>
    <x v="0"/>
    <n v="0"/>
  </r>
  <r>
    <n v="180"/>
    <d v="2025-10-11T00:00:00"/>
    <s v="Fornari"/>
    <n v="6800"/>
    <d v="2026-01-11T00:00:00"/>
    <d v="2025-06-10T00:00:00"/>
    <d v="2025-11-20T00:00:00"/>
    <x v="0"/>
    <n v="0"/>
  </r>
  <r>
    <n v="181"/>
    <d v="2025-01-04T00:00:00"/>
    <s v="Trefoloni"/>
    <n v="1890.5"/>
    <d v="2025-04-04T00:00:00"/>
    <m/>
    <d v="2025-11-20T00:00:00"/>
    <x v="2"/>
    <n v="230"/>
  </r>
  <r>
    <n v="182"/>
    <d v="2025-03-16T00:00:00"/>
    <s v="Lanza A."/>
    <n v="4100"/>
    <d v="2025-06-16T00:00:00"/>
    <m/>
    <d v="2025-11-20T00:00:00"/>
    <x v="2"/>
    <n v="157"/>
  </r>
  <r>
    <n v="183"/>
    <d v="2025-11-27T00:00:00"/>
    <s v="Pinca V."/>
    <n v="750"/>
    <d v="2026-02-27T00:00:00"/>
    <d v="2025-10-01T00:00:00"/>
    <d v="2025-11-20T00:00:00"/>
    <x v="0"/>
    <n v="0"/>
  </r>
  <r>
    <n v="184"/>
    <d v="2026-01-12T00:00:00"/>
    <s v="Rossi F."/>
    <n v="2980"/>
    <d v="2026-04-12T00:00:00"/>
    <d v="2025-03-20T00:00:00"/>
    <d v="2025-11-20T00:00:00"/>
    <x v="0"/>
    <n v="0"/>
  </r>
  <r>
    <n v="185"/>
    <d v="2025-06-05T00:00:00"/>
    <s v="Bianchi A."/>
    <n v="1250"/>
    <d v="2025-09-05T00:00:00"/>
    <d v="2025-11-15T00:00:00"/>
    <d v="2025-11-20T00:00:00"/>
    <x v="0"/>
    <n v="0"/>
  </r>
  <r>
    <n v="186"/>
    <d v="2024-12-20T00:00:00"/>
    <s v="Marini E."/>
    <n v="9870.2999999999993"/>
    <d v="2025-03-20T00:00:00"/>
    <d v="2025-09-15T00:00:00"/>
    <d v="2025-11-20T00:00:00"/>
    <x v="0"/>
    <n v="0"/>
  </r>
  <r>
    <n v="187"/>
    <d v="2025-08-13T00:00:00"/>
    <s v="Sereni"/>
    <n v="645"/>
    <d v="2025-11-13T00:00:00"/>
    <d v="2025-11-01T00:00:00"/>
    <d v="2025-11-20T00:00:00"/>
    <x v="0"/>
    <n v="0"/>
  </r>
  <r>
    <n v="188"/>
    <d v="2025-05-09T00:00:00"/>
    <s v="Scottà"/>
    <n v="3200"/>
    <d v="2025-08-09T00:00:00"/>
    <m/>
    <d v="2025-11-20T00:00:00"/>
    <x v="2"/>
    <n v="103"/>
  </r>
  <r>
    <n v="189"/>
    <d v="2025-07-24T00:00:00"/>
    <s v="Risti"/>
    <n v="150"/>
    <d v="2025-10-24T00:00:00"/>
    <d v="2025-03-20T00:00:00"/>
    <d v="2025-11-20T00:00:00"/>
    <x v="0"/>
    <n v="0"/>
  </r>
  <r>
    <n v="190"/>
    <d v="2026-02-03T00:00:00"/>
    <s v="Villani"/>
    <n v="11230"/>
    <d v="2026-05-03T00:00:00"/>
    <m/>
    <d v="2025-11-20T00:00:00"/>
    <x v="1"/>
    <n v="0"/>
  </r>
  <r>
    <n v="191"/>
    <d v="2024-12-15T00:00:00"/>
    <s v="Fornari"/>
    <n v="4500"/>
    <d v="2025-03-15T00:00:00"/>
    <d v="2025-12-15T00:00:00"/>
    <d v="2025-11-20T00:00:00"/>
    <x v="0"/>
    <n v="0"/>
  </r>
  <r>
    <n v="192"/>
    <d v="2025-10-21T00:00:00"/>
    <s v="Trefoloni"/>
    <n v="7890"/>
    <d v="2026-01-21T00:00:00"/>
    <d v="2025-09-05T00:00:00"/>
    <d v="2025-11-20T00:00:00"/>
    <x v="0"/>
    <n v="0"/>
  </r>
  <r>
    <n v="193"/>
    <d v="2025-09-10T00:00:00"/>
    <s v="Lanza C."/>
    <n v="1050"/>
    <d v="2025-12-10T00:00:00"/>
    <d v="2025-06-20T00:00:00"/>
    <d v="2025-11-20T00:00:00"/>
    <x v="0"/>
    <n v="0"/>
  </r>
  <r>
    <n v="194"/>
    <d v="2025-05-28T00:00:00"/>
    <s v="Rossi M."/>
    <n v="3450.9"/>
    <d v="2025-08-28T00:00:00"/>
    <m/>
    <d v="2025-11-20T00:00:00"/>
    <x v="2"/>
    <n v="84"/>
  </r>
  <r>
    <n v="195"/>
    <d v="2025-03-01T00:00:00"/>
    <s v="Bianchi R."/>
    <n v="2150"/>
    <d v="2025-06-01T00:00:00"/>
    <m/>
    <d v="2025-11-20T00:00:00"/>
    <x v="2"/>
    <n v="172"/>
  </r>
  <r>
    <n v="196"/>
    <d v="2026-01-07T00:00:00"/>
    <s v="Marini G."/>
    <n v="99.5"/>
    <d v="2026-04-07T00:00:00"/>
    <m/>
    <d v="2025-11-20T00:00:00"/>
    <x v="1"/>
    <n v="0"/>
  </r>
  <r>
    <n v="197"/>
    <d v="2026-02-26T00:00:00"/>
    <s v="Pinca S."/>
    <n v="12000"/>
    <d v="2026-05-26T00:00:00"/>
    <m/>
    <d v="2025-11-20T00:00:00"/>
    <x v="1"/>
    <n v="0"/>
  </r>
  <r>
    <n v="198"/>
    <d v="2025-11-19T00:00:00"/>
    <s v="Sereni"/>
    <n v="350"/>
    <d v="2026-02-19T00:00:00"/>
    <d v="2025-11-01T00:00:00"/>
    <d v="2025-11-20T00:00:00"/>
    <x v="0"/>
    <n v="0"/>
  </r>
  <r>
    <n v="199"/>
    <d v="2025-12-14T00:00:00"/>
    <s v="Scottà"/>
    <n v="6700"/>
    <d v="2026-03-14T00:00:00"/>
    <m/>
    <d v="2025-11-20T00:00:00"/>
    <x v="1"/>
    <n v="0"/>
  </r>
  <r>
    <n v="200"/>
    <d v="2025-07-20T00:00:00"/>
    <s v="Risti"/>
    <n v="1450"/>
    <d v="2025-10-20T00:00:00"/>
    <d v="2025-09-20T00:00:00"/>
    <d v="2025-11-20T00:00:0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B16F7-4DED-4405-8DBA-D4AF07510499}" name="Tabella pivot1" cacheId="3" applyNumberFormats="0" applyBorderFormats="0" applyFontFormats="0" applyPatternFormats="0" applyAlignmentFormats="0" applyWidthHeightFormats="1" dataCaption="Valori" grandTotalCaption="Total" updatedVersion="8" minRefreshableVersion="3" useAutoFormatting="1" itemPrintTitles="1" createdVersion="8" indent="0" outline="1" outlineData="1" multipleFieldFilters="0" chartFormat="7" rowHeaderCaption="Calculated Status">
  <location ref="A1:B5" firstHeaderRow="1" firstDataRow="1" firstDataCol="1"/>
  <pivotFields count="9">
    <pivotField dataField="1" showAll="0"/>
    <pivotField showAll="0"/>
    <pivotField showAll="0"/>
    <pivotField numFmtId="164" showAll="0"/>
    <pivotField numFmtId="14" showAll="0"/>
    <pivotField showAll="0"/>
    <pivotField numFmtId="14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 Number" fld="0" subtotal="count" baseField="7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9EC4-53E9-4C94-BBDB-1B93061353BD}">
  <dimension ref="A1:F201"/>
  <sheetViews>
    <sheetView workbookViewId="0">
      <selection activeCell="C196" sqref="C196"/>
    </sheetView>
  </sheetViews>
  <sheetFormatPr defaultRowHeight="14.5" x14ac:dyDescent="0.35"/>
  <cols>
    <col min="1" max="1" width="20.1796875" style="3" customWidth="1"/>
    <col min="2" max="2" width="18.08984375" style="3" customWidth="1"/>
    <col min="3" max="3" width="15.08984375" style="9" customWidth="1"/>
    <col min="4" max="4" width="18.54296875" style="12" customWidth="1"/>
    <col min="5" max="5" width="13.90625" style="3" customWidth="1"/>
    <col min="6" max="6" width="17.08984375" customWidth="1"/>
  </cols>
  <sheetData>
    <row r="1" spans="1:6" ht="15.5" x14ac:dyDescent="0.35">
      <c r="A1" s="1" t="s">
        <v>6</v>
      </c>
      <c r="B1" s="1" t="s">
        <v>20</v>
      </c>
      <c r="C1" s="7" t="s">
        <v>5</v>
      </c>
      <c r="D1" s="10" t="s">
        <v>7</v>
      </c>
      <c r="E1" s="1" t="s">
        <v>8</v>
      </c>
      <c r="F1" s="1" t="s">
        <v>25</v>
      </c>
    </row>
    <row r="2" spans="1:6" ht="15.5" x14ac:dyDescent="0.35">
      <c r="A2" s="6">
        <v>1</v>
      </c>
      <c r="B2" s="5">
        <v>45802</v>
      </c>
      <c r="C2" s="8" t="s">
        <v>10</v>
      </c>
      <c r="D2" s="11">
        <v>450</v>
      </c>
      <c r="E2" s="5">
        <v>45894</v>
      </c>
      <c r="F2" s="5">
        <v>45889</v>
      </c>
    </row>
    <row r="3" spans="1:6" ht="15.5" x14ac:dyDescent="0.35">
      <c r="A3" s="6">
        <v>2</v>
      </c>
      <c r="B3" s="5">
        <v>46001</v>
      </c>
      <c r="C3" s="8" t="s">
        <v>11</v>
      </c>
      <c r="D3" s="11">
        <v>3562</v>
      </c>
      <c r="E3" s="5">
        <v>46091</v>
      </c>
      <c r="F3" s="5"/>
    </row>
    <row r="4" spans="1:6" ht="15.5" x14ac:dyDescent="0.35">
      <c r="A4" s="6">
        <v>3</v>
      </c>
      <c r="B4" s="5">
        <v>45689</v>
      </c>
      <c r="C4" s="8" t="s">
        <v>0</v>
      </c>
      <c r="D4" s="11">
        <v>2700</v>
      </c>
      <c r="E4" s="5">
        <v>45778</v>
      </c>
      <c r="F4" s="5">
        <v>45792</v>
      </c>
    </row>
    <row r="5" spans="1:6" ht="15.5" x14ac:dyDescent="0.35">
      <c r="A5" s="6">
        <v>4</v>
      </c>
      <c r="B5" s="5">
        <v>45823</v>
      </c>
      <c r="C5" s="8" t="s">
        <v>9</v>
      </c>
      <c r="D5" s="11">
        <v>399.36</v>
      </c>
      <c r="E5" s="5">
        <v>45915</v>
      </c>
      <c r="F5" s="5">
        <v>45935</v>
      </c>
    </row>
    <row r="6" spans="1:6" ht="15.5" x14ac:dyDescent="0.35">
      <c r="A6" s="6">
        <v>5</v>
      </c>
      <c r="B6" s="5">
        <v>45874</v>
      </c>
      <c r="C6" s="8" t="s">
        <v>1</v>
      </c>
      <c r="D6" s="11">
        <v>960</v>
      </c>
      <c r="E6" s="5">
        <v>45966</v>
      </c>
      <c r="F6" s="5"/>
    </row>
    <row r="7" spans="1:6" ht="15.5" x14ac:dyDescent="0.35">
      <c r="A7" s="6">
        <v>6</v>
      </c>
      <c r="B7" s="5">
        <v>46132</v>
      </c>
      <c r="C7" s="8" t="s">
        <v>12</v>
      </c>
      <c r="D7" s="11">
        <v>7916.67</v>
      </c>
      <c r="E7" s="5">
        <v>46223</v>
      </c>
      <c r="F7" s="5"/>
    </row>
    <row r="8" spans="1:6" ht="15.5" x14ac:dyDescent="0.35">
      <c r="A8" s="6">
        <v>7</v>
      </c>
      <c r="B8" s="5">
        <v>45668</v>
      </c>
      <c r="C8" s="8" t="s">
        <v>13</v>
      </c>
      <c r="D8" s="11">
        <v>3360</v>
      </c>
      <c r="E8" s="5">
        <v>45758</v>
      </c>
      <c r="F8" s="5">
        <v>45788</v>
      </c>
    </row>
    <row r="9" spans="1:6" ht="15.5" x14ac:dyDescent="0.35">
      <c r="A9" s="6">
        <v>8</v>
      </c>
      <c r="B9" s="5">
        <v>45933</v>
      </c>
      <c r="C9" s="8" t="s">
        <v>0</v>
      </c>
      <c r="D9" s="11">
        <v>1839.36</v>
      </c>
      <c r="E9" s="5">
        <v>46025</v>
      </c>
      <c r="F9" s="5"/>
    </row>
    <row r="10" spans="1:6" ht="15.5" x14ac:dyDescent="0.35">
      <c r="A10" s="6">
        <v>9</v>
      </c>
      <c r="B10" s="5">
        <v>45644</v>
      </c>
      <c r="C10" s="8" t="s">
        <v>2</v>
      </c>
      <c r="D10" s="11">
        <v>477.48</v>
      </c>
      <c r="E10" s="5">
        <v>45734</v>
      </c>
      <c r="F10" s="5">
        <v>45736</v>
      </c>
    </row>
    <row r="11" spans="1:6" ht="15.5" x14ac:dyDescent="0.35">
      <c r="A11" s="6">
        <v>10</v>
      </c>
      <c r="B11" s="5">
        <v>45963</v>
      </c>
      <c r="C11" s="8" t="s">
        <v>14</v>
      </c>
      <c r="D11" s="11">
        <v>750</v>
      </c>
      <c r="E11" s="5">
        <v>46055</v>
      </c>
      <c r="F11" s="5"/>
    </row>
    <row r="12" spans="1:6" ht="15.5" x14ac:dyDescent="0.35">
      <c r="A12" s="6">
        <v>11</v>
      </c>
      <c r="B12" s="5">
        <v>45686</v>
      </c>
      <c r="C12" s="8" t="s">
        <v>3</v>
      </c>
      <c r="D12" s="11">
        <v>750</v>
      </c>
      <c r="E12" s="5">
        <v>45776</v>
      </c>
      <c r="F12" s="5">
        <v>45782</v>
      </c>
    </row>
    <row r="13" spans="1:6" ht="15.5" x14ac:dyDescent="0.35">
      <c r="A13" s="6">
        <v>12</v>
      </c>
      <c r="B13" s="5">
        <v>45914</v>
      </c>
      <c r="C13" s="8" t="s">
        <v>15</v>
      </c>
      <c r="D13" s="11">
        <v>3284.5</v>
      </c>
      <c r="E13" s="5">
        <v>46005</v>
      </c>
      <c r="F13" s="5"/>
    </row>
    <row r="14" spans="1:6" ht="15.5" x14ac:dyDescent="0.35">
      <c r="A14" s="6">
        <v>13</v>
      </c>
      <c r="B14" s="5">
        <v>45755</v>
      </c>
      <c r="C14" s="8" t="s">
        <v>11</v>
      </c>
      <c r="D14" s="11">
        <v>4320</v>
      </c>
      <c r="E14" s="5">
        <v>45846</v>
      </c>
      <c r="F14" s="5">
        <v>45870</v>
      </c>
    </row>
    <row r="15" spans="1:6" ht="15.5" x14ac:dyDescent="0.35">
      <c r="A15" s="6">
        <v>14</v>
      </c>
      <c r="B15" s="5">
        <v>45952</v>
      </c>
      <c r="C15" s="8" t="s">
        <v>16</v>
      </c>
      <c r="D15" s="11">
        <v>9600</v>
      </c>
      <c r="E15" s="5">
        <v>46044</v>
      </c>
      <c r="F15" s="5"/>
    </row>
    <row r="16" spans="1:6" ht="15.5" x14ac:dyDescent="0.35">
      <c r="A16" s="6">
        <v>15</v>
      </c>
      <c r="B16" s="5">
        <v>46039</v>
      </c>
      <c r="C16" s="8" t="s">
        <v>1</v>
      </c>
      <c r="D16" s="11">
        <v>234</v>
      </c>
      <c r="E16" s="5">
        <v>46129</v>
      </c>
      <c r="F16" s="5"/>
    </row>
    <row r="17" spans="1:6" ht="15.5" x14ac:dyDescent="0.35">
      <c r="A17" s="6">
        <v>16</v>
      </c>
      <c r="B17" s="5">
        <v>45722</v>
      </c>
      <c r="C17" s="8" t="s">
        <v>4</v>
      </c>
      <c r="D17" s="11">
        <v>12000</v>
      </c>
      <c r="E17" s="5">
        <v>45814</v>
      </c>
      <c r="F17" s="5">
        <v>45818</v>
      </c>
    </row>
    <row r="18" spans="1:6" ht="15.5" x14ac:dyDescent="0.35">
      <c r="A18" s="6">
        <v>17</v>
      </c>
      <c r="B18" s="5">
        <v>46000</v>
      </c>
      <c r="C18" s="8" t="s">
        <v>3</v>
      </c>
      <c r="D18" s="11">
        <v>123</v>
      </c>
      <c r="E18" s="5">
        <v>46090</v>
      </c>
      <c r="F18" s="5"/>
    </row>
    <row r="19" spans="1:6" ht="15.5" x14ac:dyDescent="0.35">
      <c r="A19" s="6">
        <v>18</v>
      </c>
      <c r="B19" s="5">
        <v>45980</v>
      </c>
      <c r="C19" s="8" t="s">
        <v>1</v>
      </c>
      <c r="D19" s="11">
        <v>790</v>
      </c>
      <c r="E19" s="5">
        <v>46072</v>
      </c>
      <c r="F19" s="5"/>
    </row>
    <row r="20" spans="1:6" ht="15.5" x14ac:dyDescent="0.35">
      <c r="A20" s="6">
        <v>19</v>
      </c>
      <c r="B20" s="5">
        <v>45678</v>
      </c>
      <c r="C20" s="8" t="s">
        <v>0</v>
      </c>
      <c r="D20" s="11">
        <v>580</v>
      </c>
      <c r="E20" s="5">
        <v>45768</v>
      </c>
      <c r="F20" s="5">
        <v>45767</v>
      </c>
    </row>
    <row r="21" spans="1:6" ht="15.5" x14ac:dyDescent="0.35">
      <c r="A21" s="6">
        <v>20</v>
      </c>
      <c r="B21" s="5">
        <v>45842</v>
      </c>
      <c r="C21" s="8" t="s">
        <v>17</v>
      </c>
      <c r="D21" s="11">
        <v>2112.6</v>
      </c>
      <c r="E21" s="5">
        <v>45934</v>
      </c>
      <c r="F21" s="5">
        <v>45962</v>
      </c>
    </row>
    <row r="22" spans="1:6" ht="15.5" x14ac:dyDescent="0.35">
      <c r="A22" s="6">
        <v>21</v>
      </c>
      <c r="B22" s="5">
        <v>45998</v>
      </c>
      <c r="C22" s="8" t="s">
        <v>2</v>
      </c>
      <c r="D22" s="11">
        <v>1980</v>
      </c>
      <c r="E22" s="5">
        <v>46088</v>
      </c>
      <c r="F22" s="5"/>
    </row>
    <row r="23" spans="1:6" ht="15.5" x14ac:dyDescent="0.35">
      <c r="A23" s="6">
        <v>22</v>
      </c>
      <c r="B23" s="5">
        <v>45923</v>
      </c>
      <c r="C23" s="8" t="s">
        <v>14</v>
      </c>
      <c r="D23" s="11">
        <v>534</v>
      </c>
      <c r="E23" s="5">
        <v>46014</v>
      </c>
      <c r="F23" s="5">
        <v>46023</v>
      </c>
    </row>
    <row r="24" spans="1:6" ht="15.5" x14ac:dyDescent="0.35">
      <c r="A24" s="6">
        <v>23</v>
      </c>
      <c r="B24" s="5">
        <v>46066</v>
      </c>
      <c r="C24" s="8" t="s">
        <v>3</v>
      </c>
      <c r="D24" s="11">
        <v>8600</v>
      </c>
      <c r="E24" s="5">
        <v>46155</v>
      </c>
      <c r="F24" s="5"/>
    </row>
    <row r="25" spans="1:6" ht="15.5" x14ac:dyDescent="0.35">
      <c r="A25" s="6">
        <v>24</v>
      </c>
      <c r="B25" s="5">
        <v>45748</v>
      </c>
      <c r="C25" s="8" t="s">
        <v>1</v>
      </c>
      <c r="D25" s="11">
        <v>1600</v>
      </c>
      <c r="E25" s="5">
        <v>45839</v>
      </c>
      <c r="F25" s="5">
        <v>45853</v>
      </c>
    </row>
    <row r="26" spans="1:6" ht="15.5" x14ac:dyDescent="0.35">
      <c r="A26" s="6">
        <v>25</v>
      </c>
      <c r="B26" s="5">
        <v>46008</v>
      </c>
      <c r="C26" s="8" t="s">
        <v>4</v>
      </c>
      <c r="D26" s="11">
        <v>1050</v>
      </c>
      <c r="E26" s="5">
        <v>46098</v>
      </c>
      <c r="F26" s="5"/>
    </row>
    <row r="27" spans="1:6" ht="15.5" x14ac:dyDescent="0.35">
      <c r="A27" s="6">
        <v>26</v>
      </c>
      <c r="B27" s="5">
        <v>45716</v>
      </c>
      <c r="C27" s="8" t="s">
        <v>0</v>
      </c>
      <c r="D27" s="11">
        <v>4100</v>
      </c>
      <c r="E27" s="5">
        <v>45805</v>
      </c>
      <c r="F27" s="5">
        <v>45813</v>
      </c>
    </row>
    <row r="28" spans="1:6" ht="15.5" x14ac:dyDescent="0.35">
      <c r="A28" s="6">
        <v>27</v>
      </c>
      <c r="B28" s="5">
        <v>45871</v>
      </c>
      <c r="C28" s="8" t="s">
        <v>13</v>
      </c>
      <c r="D28" s="11">
        <v>20112.62</v>
      </c>
      <c r="E28" s="5">
        <v>45963</v>
      </c>
      <c r="F28" s="5">
        <v>45971</v>
      </c>
    </row>
    <row r="29" spans="1:6" ht="15.5" x14ac:dyDescent="0.35">
      <c r="A29" s="6">
        <v>28</v>
      </c>
      <c r="B29" s="5">
        <v>45941</v>
      </c>
      <c r="C29" s="8" t="s">
        <v>11</v>
      </c>
      <c r="D29" s="11">
        <v>1450</v>
      </c>
      <c r="E29" s="5">
        <v>46033</v>
      </c>
      <c r="F29" s="5"/>
    </row>
    <row r="30" spans="1:6" ht="15.5" x14ac:dyDescent="0.35">
      <c r="A30" s="6">
        <v>29</v>
      </c>
      <c r="B30" s="5">
        <v>45661</v>
      </c>
      <c r="C30" s="8" t="s">
        <v>18</v>
      </c>
      <c r="D30" s="11">
        <v>23456</v>
      </c>
      <c r="E30" s="5">
        <v>45751</v>
      </c>
      <c r="F30" s="5">
        <v>45767</v>
      </c>
    </row>
    <row r="31" spans="1:6" ht="15.5" x14ac:dyDescent="0.35">
      <c r="A31" s="6">
        <v>30</v>
      </c>
      <c r="B31" s="5">
        <v>45732</v>
      </c>
      <c r="C31" s="8" t="s">
        <v>2</v>
      </c>
      <c r="D31" s="11">
        <v>400</v>
      </c>
      <c r="E31" s="5">
        <v>45824</v>
      </c>
      <c r="F31" s="5">
        <v>45818</v>
      </c>
    </row>
    <row r="32" spans="1:6" ht="15.5" x14ac:dyDescent="0.35">
      <c r="A32" s="6">
        <v>31</v>
      </c>
      <c r="B32" s="5">
        <v>45988</v>
      </c>
      <c r="C32" s="8" t="s">
        <v>0</v>
      </c>
      <c r="D32" s="11">
        <v>750</v>
      </c>
      <c r="E32" s="5">
        <v>46080</v>
      </c>
      <c r="F32" s="5"/>
    </row>
    <row r="33" spans="1:6" ht="15.5" x14ac:dyDescent="0.35">
      <c r="A33" s="6">
        <v>32</v>
      </c>
      <c r="B33" s="5">
        <v>46034</v>
      </c>
      <c r="C33" s="8" t="s">
        <v>17</v>
      </c>
      <c r="D33" s="11">
        <v>3400</v>
      </c>
      <c r="E33" s="5">
        <v>46124</v>
      </c>
      <c r="F33" s="5"/>
    </row>
    <row r="34" spans="1:6" ht="15.5" x14ac:dyDescent="0.35">
      <c r="A34" s="6">
        <v>33</v>
      </c>
      <c r="B34" s="5">
        <v>45813</v>
      </c>
      <c r="C34" s="8" t="s">
        <v>1</v>
      </c>
      <c r="D34" s="11">
        <v>1560</v>
      </c>
      <c r="E34" s="5">
        <v>45905</v>
      </c>
      <c r="F34" s="5">
        <v>45931</v>
      </c>
    </row>
    <row r="35" spans="1:6" ht="15.5" x14ac:dyDescent="0.35">
      <c r="A35" s="6">
        <v>34</v>
      </c>
      <c r="B35" s="5">
        <v>45646</v>
      </c>
      <c r="C35" s="8" t="s">
        <v>10</v>
      </c>
      <c r="D35" s="11">
        <v>2100</v>
      </c>
      <c r="E35" s="5">
        <v>45736</v>
      </c>
      <c r="F35" s="5">
        <v>45736</v>
      </c>
    </row>
    <row r="36" spans="1:6" ht="15.5" x14ac:dyDescent="0.35">
      <c r="A36" s="6">
        <v>35</v>
      </c>
      <c r="B36" s="5">
        <v>45882</v>
      </c>
      <c r="C36" s="8" t="s">
        <v>16</v>
      </c>
      <c r="D36" s="11">
        <v>9600</v>
      </c>
      <c r="E36" s="5">
        <v>45974</v>
      </c>
      <c r="F36" s="5">
        <v>45976</v>
      </c>
    </row>
    <row r="37" spans="1:6" ht="15.5" x14ac:dyDescent="0.35">
      <c r="A37" s="6">
        <v>36</v>
      </c>
      <c r="B37" s="5">
        <v>45786</v>
      </c>
      <c r="C37" s="8" t="s">
        <v>0</v>
      </c>
      <c r="D37" s="11">
        <v>4259.9399999999996</v>
      </c>
      <c r="E37" s="5">
        <v>45878</v>
      </c>
      <c r="F37" s="5">
        <v>45915</v>
      </c>
    </row>
    <row r="38" spans="1:6" ht="15.5" x14ac:dyDescent="0.35">
      <c r="A38" s="6">
        <v>37</v>
      </c>
      <c r="B38" s="5">
        <v>45862</v>
      </c>
      <c r="C38" s="8" t="s">
        <v>13</v>
      </c>
      <c r="D38" s="11">
        <v>230</v>
      </c>
      <c r="E38" s="5">
        <v>45954</v>
      </c>
      <c r="F38" s="5">
        <v>45962</v>
      </c>
    </row>
    <row r="39" spans="1:6" ht="15.5" x14ac:dyDescent="0.35">
      <c r="A39" s="6">
        <v>38</v>
      </c>
      <c r="B39" s="5">
        <v>46056</v>
      </c>
      <c r="C39" s="8" t="s">
        <v>1</v>
      </c>
      <c r="D39" s="11">
        <v>3200</v>
      </c>
      <c r="E39" s="5">
        <v>46145</v>
      </c>
      <c r="F39" s="5"/>
    </row>
    <row r="40" spans="1:6" ht="15.5" x14ac:dyDescent="0.35">
      <c r="A40" s="6">
        <v>39</v>
      </c>
      <c r="B40" s="5">
        <v>45641</v>
      </c>
      <c r="C40" s="8" t="s">
        <v>2</v>
      </c>
      <c r="D40" s="11">
        <v>6780</v>
      </c>
      <c r="E40" s="5">
        <v>45731</v>
      </c>
      <c r="F40" s="5">
        <v>45736</v>
      </c>
    </row>
    <row r="41" spans="1:6" ht="15.5" x14ac:dyDescent="0.35">
      <c r="A41" s="6">
        <v>40</v>
      </c>
      <c r="B41" s="5">
        <v>45951</v>
      </c>
      <c r="C41" s="8" t="s">
        <v>14</v>
      </c>
      <c r="D41" s="11">
        <v>477.48</v>
      </c>
      <c r="E41" s="5">
        <v>46043</v>
      </c>
      <c r="F41" s="5"/>
    </row>
    <row r="42" spans="1:6" ht="15.5" x14ac:dyDescent="0.35">
      <c r="A42" s="6">
        <v>41</v>
      </c>
      <c r="B42" s="5">
        <v>45910</v>
      </c>
      <c r="C42" s="8" t="s">
        <v>3</v>
      </c>
      <c r="D42" s="11">
        <v>2900</v>
      </c>
      <c r="E42" s="5">
        <v>46001</v>
      </c>
      <c r="F42" s="5">
        <v>46006</v>
      </c>
    </row>
    <row r="43" spans="1:6" ht="15.5" x14ac:dyDescent="0.35">
      <c r="A43" s="6">
        <v>42</v>
      </c>
      <c r="B43" s="5">
        <v>45805</v>
      </c>
      <c r="C43" s="8" t="s">
        <v>19</v>
      </c>
      <c r="D43" s="11">
        <v>60</v>
      </c>
      <c r="E43" s="5">
        <v>45897</v>
      </c>
      <c r="F43" s="5">
        <v>45905</v>
      </c>
    </row>
    <row r="44" spans="1:6" ht="15.5" x14ac:dyDescent="0.35">
      <c r="A44" s="6">
        <v>43</v>
      </c>
      <c r="B44" s="5">
        <v>45717</v>
      </c>
      <c r="C44" s="8" t="s">
        <v>17</v>
      </c>
      <c r="D44" s="11">
        <v>3284.5</v>
      </c>
      <c r="E44" s="5">
        <v>45809</v>
      </c>
      <c r="F44" s="5">
        <v>45828</v>
      </c>
    </row>
    <row r="45" spans="1:6" ht="15.5" x14ac:dyDescent="0.35">
      <c r="A45" s="6">
        <v>44</v>
      </c>
      <c r="B45" s="5">
        <v>46029</v>
      </c>
      <c r="C45" s="8" t="s">
        <v>1</v>
      </c>
      <c r="D45" s="11">
        <v>750</v>
      </c>
      <c r="E45" s="5">
        <v>46119</v>
      </c>
      <c r="F45" s="5"/>
    </row>
    <row r="46" spans="1:6" ht="15.5" x14ac:dyDescent="0.35">
      <c r="A46" s="6">
        <v>45</v>
      </c>
      <c r="B46" s="5">
        <v>46079</v>
      </c>
      <c r="C46" s="8" t="s">
        <v>2</v>
      </c>
      <c r="D46" s="11">
        <v>7356</v>
      </c>
      <c r="E46" s="5">
        <v>46168</v>
      </c>
      <c r="F46" s="5"/>
    </row>
    <row r="47" spans="1:6" ht="15.5" x14ac:dyDescent="0.35">
      <c r="A47" s="6">
        <v>46</v>
      </c>
      <c r="B47" s="5">
        <v>45888</v>
      </c>
      <c r="C47" s="8" t="s">
        <v>11</v>
      </c>
      <c r="D47" s="11">
        <v>3562</v>
      </c>
      <c r="E47" s="5">
        <v>45980</v>
      </c>
      <c r="F47" s="5"/>
    </row>
    <row r="48" spans="1:6" ht="15.5" x14ac:dyDescent="0.35">
      <c r="A48" s="6">
        <v>47</v>
      </c>
      <c r="B48" s="5">
        <v>46005</v>
      </c>
      <c r="C48" s="8" t="s">
        <v>0</v>
      </c>
      <c r="D48" s="11">
        <v>12000</v>
      </c>
      <c r="E48" s="5">
        <v>46095</v>
      </c>
      <c r="F48" s="5"/>
    </row>
    <row r="49" spans="1:6" ht="15.5" x14ac:dyDescent="0.35">
      <c r="A49" s="6">
        <v>48</v>
      </c>
      <c r="B49" s="5">
        <v>45858</v>
      </c>
      <c r="C49" s="8" t="s">
        <v>15</v>
      </c>
      <c r="D49" s="11">
        <v>10200</v>
      </c>
      <c r="E49" s="5">
        <v>45950</v>
      </c>
      <c r="F49" s="5">
        <v>45962</v>
      </c>
    </row>
    <row r="50" spans="1:6" ht="15.5" x14ac:dyDescent="0.35">
      <c r="A50" s="6">
        <v>49</v>
      </c>
      <c r="B50" s="5">
        <v>46063</v>
      </c>
      <c r="C50" s="8" t="s">
        <v>1</v>
      </c>
      <c r="D50" s="11">
        <v>140</v>
      </c>
      <c r="E50" s="5">
        <v>46152</v>
      </c>
      <c r="F50" s="5"/>
    </row>
    <row r="51" spans="1:6" ht="15.5" x14ac:dyDescent="0.35">
      <c r="A51" s="6">
        <v>50</v>
      </c>
      <c r="B51" s="5">
        <v>45824</v>
      </c>
      <c r="C51" s="8" t="s">
        <v>9</v>
      </c>
      <c r="D51" s="11">
        <v>10900</v>
      </c>
      <c r="E51" s="5">
        <v>45916</v>
      </c>
      <c r="F51" s="5">
        <v>45920</v>
      </c>
    </row>
    <row r="52" spans="1:6" ht="15.5" x14ac:dyDescent="0.35">
      <c r="A52" s="6">
        <v>51</v>
      </c>
      <c r="B52" s="5">
        <v>45775</v>
      </c>
      <c r="C52" s="8" t="s">
        <v>13</v>
      </c>
      <c r="D52" s="11">
        <v>2500</v>
      </c>
      <c r="E52" s="5">
        <v>45866</v>
      </c>
      <c r="F52" s="5">
        <v>46129</v>
      </c>
    </row>
    <row r="53" spans="1:6" ht="15.5" x14ac:dyDescent="0.35">
      <c r="A53" s="6">
        <v>52</v>
      </c>
      <c r="B53" s="5">
        <v>46063</v>
      </c>
      <c r="C53" s="8" t="s">
        <v>14</v>
      </c>
      <c r="D53" s="11">
        <v>8800</v>
      </c>
      <c r="E53" s="5">
        <v>46152</v>
      </c>
      <c r="F53" s="5">
        <v>46048</v>
      </c>
    </row>
    <row r="54" spans="1:6" ht="15.5" x14ac:dyDescent="0.35">
      <c r="A54" s="6">
        <v>53</v>
      </c>
      <c r="B54" s="5">
        <v>45547</v>
      </c>
      <c r="C54" s="8" t="s">
        <v>18</v>
      </c>
      <c r="D54" s="11">
        <v>1950</v>
      </c>
      <c r="E54" s="5">
        <v>45728</v>
      </c>
      <c r="F54" s="5">
        <v>46106</v>
      </c>
    </row>
    <row r="55" spans="1:6" ht="15.5" x14ac:dyDescent="0.35">
      <c r="A55" s="6">
        <v>54</v>
      </c>
      <c r="B55" s="5">
        <v>45812</v>
      </c>
      <c r="C55" s="8" t="s">
        <v>10</v>
      </c>
      <c r="D55" s="11">
        <v>4789.84</v>
      </c>
      <c r="E55" s="5">
        <v>45904</v>
      </c>
      <c r="F55" s="5">
        <v>45966</v>
      </c>
    </row>
    <row r="56" spans="1:6" ht="15.5" x14ac:dyDescent="0.35">
      <c r="A56" s="6">
        <v>55</v>
      </c>
      <c r="B56" s="5">
        <v>45917</v>
      </c>
      <c r="C56" s="8" t="s">
        <v>2</v>
      </c>
      <c r="D56" s="11">
        <v>350</v>
      </c>
      <c r="E56" s="5">
        <v>46008</v>
      </c>
      <c r="F56" s="5">
        <v>46144</v>
      </c>
    </row>
    <row r="57" spans="1:6" ht="15.5" x14ac:dyDescent="0.35">
      <c r="A57" s="6">
        <v>56</v>
      </c>
      <c r="B57" s="5">
        <v>46134</v>
      </c>
      <c r="C57" s="8" t="s">
        <v>12</v>
      </c>
      <c r="D57" s="11">
        <v>1700</v>
      </c>
      <c r="E57" s="5">
        <v>46225</v>
      </c>
      <c r="F57" s="5">
        <v>45818</v>
      </c>
    </row>
    <row r="58" spans="1:6" ht="15.5" x14ac:dyDescent="0.35">
      <c r="A58" s="6">
        <v>57</v>
      </c>
      <c r="B58" s="5">
        <v>46027</v>
      </c>
      <c r="C58" s="8" t="s">
        <v>1</v>
      </c>
      <c r="D58" s="11">
        <v>4600</v>
      </c>
      <c r="E58" s="5">
        <v>46117</v>
      </c>
      <c r="F58" s="5">
        <v>45897</v>
      </c>
    </row>
    <row r="59" spans="1:6" ht="15.5" x14ac:dyDescent="0.35">
      <c r="A59" s="6">
        <v>58</v>
      </c>
      <c r="B59" s="5">
        <v>45943</v>
      </c>
      <c r="C59" s="8" t="s">
        <v>17</v>
      </c>
      <c r="D59" s="11">
        <v>550</v>
      </c>
      <c r="E59" s="5">
        <v>46035</v>
      </c>
      <c r="F59" s="5">
        <v>46011</v>
      </c>
    </row>
    <row r="60" spans="1:6" ht="15.5" x14ac:dyDescent="0.35">
      <c r="A60" s="6">
        <v>59</v>
      </c>
      <c r="B60" s="4" t="s">
        <v>21</v>
      </c>
      <c r="C60" s="8" t="s">
        <v>0</v>
      </c>
      <c r="D60" s="11">
        <v>10500</v>
      </c>
      <c r="E60" s="5">
        <v>45806</v>
      </c>
      <c r="F60" s="5">
        <v>46096</v>
      </c>
    </row>
    <row r="61" spans="1:6" ht="15.5" x14ac:dyDescent="0.35">
      <c r="A61" s="6">
        <v>60</v>
      </c>
      <c r="B61" s="5">
        <v>45877</v>
      </c>
      <c r="C61" s="8" t="s">
        <v>9</v>
      </c>
      <c r="D61" s="11">
        <v>2500</v>
      </c>
      <c r="E61" s="5">
        <v>45969</v>
      </c>
      <c r="F61" s="5"/>
    </row>
    <row r="62" spans="1:6" ht="15.5" x14ac:dyDescent="0.35">
      <c r="A62" s="6">
        <v>61</v>
      </c>
      <c r="B62" s="5">
        <v>46033</v>
      </c>
      <c r="C62" s="8" t="s">
        <v>19</v>
      </c>
      <c r="D62" s="11">
        <v>1900</v>
      </c>
      <c r="E62" s="5">
        <v>46123</v>
      </c>
      <c r="F62" s="5">
        <v>46023</v>
      </c>
    </row>
    <row r="63" spans="1:6" ht="15.5" x14ac:dyDescent="0.35">
      <c r="A63" s="6">
        <v>62</v>
      </c>
      <c r="B63" s="5">
        <v>46011</v>
      </c>
      <c r="C63" s="8" t="s">
        <v>3</v>
      </c>
      <c r="D63" s="11">
        <v>8400</v>
      </c>
      <c r="E63" s="5">
        <v>46101</v>
      </c>
      <c r="F63" s="5">
        <v>46223</v>
      </c>
    </row>
    <row r="64" spans="1:6" ht="15.5" x14ac:dyDescent="0.35">
      <c r="A64" s="6">
        <v>63</v>
      </c>
      <c r="B64" s="5">
        <v>45968</v>
      </c>
      <c r="C64" s="8" t="s">
        <v>11</v>
      </c>
      <c r="D64" s="11">
        <v>3200</v>
      </c>
      <c r="E64" s="5">
        <v>46060</v>
      </c>
      <c r="F64" s="5">
        <v>46143</v>
      </c>
    </row>
    <row r="65" spans="1:6" ht="15.5" x14ac:dyDescent="0.35">
      <c r="A65" s="6">
        <v>64</v>
      </c>
      <c r="B65" s="5">
        <v>45854</v>
      </c>
      <c r="C65" s="8" t="s">
        <v>15</v>
      </c>
      <c r="D65" s="11">
        <v>4700</v>
      </c>
      <c r="E65" s="5">
        <v>45946</v>
      </c>
      <c r="F65" s="5">
        <v>46082</v>
      </c>
    </row>
    <row r="66" spans="1:6" ht="15.5" x14ac:dyDescent="0.35">
      <c r="A66" s="6">
        <v>65</v>
      </c>
      <c r="B66" s="5">
        <v>46055</v>
      </c>
      <c r="C66" s="8" t="s">
        <v>1</v>
      </c>
      <c r="D66" s="11">
        <v>1150</v>
      </c>
      <c r="E66" s="5">
        <v>46144</v>
      </c>
      <c r="F66" s="5">
        <v>45910</v>
      </c>
    </row>
    <row r="67" spans="1:6" ht="15.5" x14ac:dyDescent="0.35">
      <c r="A67" s="6">
        <v>66</v>
      </c>
      <c r="B67" s="5">
        <v>45730</v>
      </c>
      <c r="C67" s="8" t="s">
        <v>4</v>
      </c>
      <c r="D67" s="11">
        <v>5300</v>
      </c>
      <c r="E67" s="5">
        <v>45822</v>
      </c>
      <c r="F67" s="5">
        <v>45976</v>
      </c>
    </row>
    <row r="68" spans="1:6" ht="15.5" x14ac:dyDescent="0.35">
      <c r="A68" s="6">
        <v>67</v>
      </c>
      <c r="B68" s="5">
        <v>45798</v>
      </c>
      <c r="C68" s="8" t="s">
        <v>16</v>
      </c>
      <c r="D68" s="11">
        <v>15000</v>
      </c>
      <c r="E68" s="5">
        <v>45890</v>
      </c>
      <c r="F68" s="5">
        <v>46091</v>
      </c>
    </row>
    <row r="69" spans="1:6" ht="15.5" x14ac:dyDescent="0.35">
      <c r="A69" s="6">
        <v>68</v>
      </c>
      <c r="B69" s="5">
        <v>45910</v>
      </c>
      <c r="C69" s="8" t="s">
        <v>2</v>
      </c>
      <c r="D69" s="11">
        <v>650</v>
      </c>
      <c r="E69" s="5">
        <v>46001</v>
      </c>
      <c r="F69" s="5">
        <v>46037</v>
      </c>
    </row>
    <row r="70" spans="1:6" ht="15.5" x14ac:dyDescent="0.35">
      <c r="A70" s="6">
        <v>69</v>
      </c>
      <c r="B70" s="5">
        <v>45956</v>
      </c>
      <c r="C70" s="8" t="s">
        <v>13</v>
      </c>
      <c r="D70" s="11">
        <v>2800</v>
      </c>
      <c r="E70" s="5">
        <v>46048</v>
      </c>
      <c r="F70" s="5">
        <v>45717</v>
      </c>
    </row>
    <row r="71" spans="1:6" ht="15.5" x14ac:dyDescent="0.35">
      <c r="A71" s="6">
        <v>70</v>
      </c>
      <c r="B71" s="5">
        <v>45994</v>
      </c>
      <c r="C71" s="8" t="s">
        <v>14</v>
      </c>
      <c r="D71" s="11">
        <v>1850</v>
      </c>
      <c r="E71" s="5">
        <v>46084</v>
      </c>
      <c r="F71" s="5">
        <v>45971</v>
      </c>
    </row>
    <row r="72" spans="1:6" ht="15.5" x14ac:dyDescent="0.35">
      <c r="A72" s="6">
        <v>71</v>
      </c>
      <c r="B72" s="5">
        <v>45754</v>
      </c>
      <c r="C72" s="8" t="s">
        <v>0</v>
      </c>
      <c r="D72" s="11">
        <v>7100</v>
      </c>
      <c r="E72" s="5">
        <v>45907</v>
      </c>
      <c r="F72" s="5">
        <v>46040</v>
      </c>
    </row>
    <row r="73" spans="1:6" ht="15.5" x14ac:dyDescent="0.35">
      <c r="A73" s="6">
        <v>72</v>
      </c>
      <c r="B73" s="5">
        <v>46131</v>
      </c>
      <c r="C73" s="8" t="s">
        <v>9</v>
      </c>
      <c r="D73" s="11">
        <v>2600</v>
      </c>
      <c r="E73" s="5">
        <v>46222</v>
      </c>
      <c r="F73" s="5">
        <v>46096</v>
      </c>
    </row>
    <row r="74" spans="1:6" ht="15.5" x14ac:dyDescent="0.35">
      <c r="A74" s="6">
        <v>73</v>
      </c>
      <c r="B74" s="5">
        <v>45658</v>
      </c>
      <c r="C74" s="8" t="s">
        <v>18</v>
      </c>
      <c r="D74" s="11">
        <v>4400</v>
      </c>
      <c r="E74" s="5">
        <v>45748</v>
      </c>
      <c r="F74" s="5">
        <v>46063</v>
      </c>
    </row>
    <row r="75" spans="1:6" ht="15.5" x14ac:dyDescent="0.35">
      <c r="A75" s="6">
        <v>74</v>
      </c>
      <c r="B75" s="5">
        <v>45972</v>
      </c>
      <c r="C75" s="8" t="s">
        <v>3</v>
      </c>
      <c r="D75" s="11">
        <v>9500</v>
      </c>
      <c r="E75" s="5">
        <v>46064</v>
      </c>
      <c r="F75" s="5">
        <v>45717</v>
      </c>
    </row>
    <row r="76" spans="1:6" ht="15.5" x14ac:dyDescent="0.35">
      <c r="A76" s="6">
        <v>75</v>
      </c>
      <c r="B76" s="5">
        <v>45836</v>
      </c>
      <c r="C76" s="8" t="s">
        <v>1</v>
      </c>
      <c r="D76" s="11">
        <v>3300</v>
      </c>
      <c r="E76" s="5">
        <v>45928</v>
      </c>
      <c r="F76" s="5">
        <v>45981</v>
      </c>
    </row>
    <row r="77" spans="1:6" ht="15.5" x14ac:dyDescent="0.35">
      <c r="A77" s="6">
        <v>76</v>
      </c>
      <c r="B77" s="5">
        <v>45878</v>
      </c>
      <c r="C77" s="8" t="s">
        <v>4</v>
      </c>
      <c r="D77" s="11">
        <v>1550</v>
      </c>
      <c r="E77" s="5">
        <v>45970</v>
      </c>
      <c r="F77" s="5">
        <v>45894</v>
      </c>
    </row>
    <row r="78" spans="1:6" ht="15.5" x14ac:dyDescent="0.35">
      <c r="A78" s="6">
        <v>77</v>
      </c>
      <c r="B78" s="5">
        <v>46057</v>
      </c>
      <c r="C78" s="8" t="s">
        <v>11</v>
      </c>
      <c r="D78" s="11">
        <v>5900</v>
      </c>
      <c r="E78" s="5">
        <v>46146</v>
      </c>
      <c r="F78" s="5">
        <v>46157</v>
      </c>
    </row>
    <row r="79" spans="1:6" ht="15.5" x14ac:dyDescent="0.35">
      <c r="A79" s="6">
        <v>78</v>
      </c>
      <c r="B79" s="5">
        <v>45948</v>
      </c>
      <c r="C79" s="8" t="s">
        <v>2</v>
      </c>
      <c r="D79" s="11">
        <v>2750</v>
      </c>
      <c r="E79" s="5">
        <v>46040</v>
      </c>
      <c r="F79" s="5"/>
    </row>
    <row r="80" spans="1:6" ht="15.5" x14ac:dyDescent="0.35">
      <c r="A80" s="6">
        <v>79</v>
      </c>
      <c r="B80" s="5">
        <v>45627</v>
      </c>
      <c r="C80" s="8" t="s">
        <v>10</v>
      </c>
      <c r="D80" s="11">
        <v>1000</v>
      </c>
      <c r="E80" s="5">
        <v>45717</v>
      </c>
      <c r="F80" s="5">
        <v>46167</v>
      </c>
    </row>
    <row r="81" spans="1:6" ht="15.5" x14ac:dyDescent="0.35">
      <c r="A81" s="6">
        <v>80</v>
      </c>
      <c r="B81" s="5">
        <v>45861</v>
      </c>
      <c r="C81" s="8" t="s">
        <v>17</v>
      </c>
      <c r="D81" s="11">
        <v>6800</v>
      </c>
      <c r="E81" s="5">
        <v>45953</v>
      </c>
      <c r="F81" s="5">
        <v>46101</v>
      </c>
    </row>
    <row r="82" spans="1:6" ht="15.5" x14ac:dyDescent="0.35">
      <c r="A82" s="6">
        <v>81</v>
      </c>
      <c r="B82" s="5">
        <v>46127</v>
      </c>
      <c r="C82" s="8" t="s">
        <v>0</v>
      </c>
      <c r="D82" s="11">
        <v>1890.5</v>
      </c>
      <c r="E82" s="5">
        <v>46218</v>
      </c>
      <c r="F82" s="5">
        <v>45950</v>
      </c>
    </row>
    <row r="83" spans="1:6" ht="15.5" x14ac:dyDescent="0.35">
      <c r="A83" s="6">
        <v>82</v>
      </c>
      <c r="B83" s="5">
        <v>46087</v>
      </c>
      <c r="C83" s="8" t="s">
        <v>12</v>
      </c>
      <c r="D83" s="11">
        <v>4100</v>
      </c>
      <c r="E83" s="5">
        <v>46087</v>
      </c>
      <c r="F83" s="5">
        <v>46091</v>
      </c>
    </row>
    <row r="84" spans="1:6" ht="15.5" x14ac:dyDescent="0.35">
      <c r="A84" s="6">
        <v>83</v>
      </c>
      <c r="B84" s="5">
        <v>45828</v>
      </c>
      <c r="C84" s="8" t="s">
        <v>1</v>
      </c>
      <c r="D84" s="11">
        <v>750</v>
      </c>
      <c r="E84" s="5">
        <v>45920</v>
      </c>
      <c r="F84" s="5">
        <v>45809</v>
      </c>
    </row>
    <row r="85" spans="1:6" ht="15.5" x14ac:dyDescent="0.35">
      <c r="A85" s="6">
        <v>84</v>
      </c>
      <c r="B85" s="5">
        <v>46039</v>
      </c>
      <c r="C85" s="8" t="s">
        <v>14</v>
      </c>
      <c r="D85" s="11">
        <v>2980</v>
      </c>
      <c r="E85" s="5">
        <v>46129</v>
      </c>
      <c r="F85" s="5">
        <v>45839</v>
      </c>
    </row>
    <row r="86" spans="1:6" ht="15.5" x14ac:dyDescent="0.35">
      <c r="A86" s="6">
        <v>85</v>
      </c>
      <c r="B86" s="5">
        <v>45898</v>
      </c>
      <c r="C86" s="8" t="s">
        <v>19</v>
      </c>
      <c r="D86" s="11">
        <v>1250</v>
      </c>
      <c r="E86" s="5">
        <v>45990</v>
      </c>
      <c r="F86" s="5">
        <v>45901</v>
      </c>
    </row>
    <row r="87" spans="1:6" ht="15.5" x14ac:dyDescent="0.35">
      <c r="A87" s="6">
        <v>86</v>
      </c>
      <c r="B87" s="5">
        <v>45914</v>
      </c>
      <c r="C87" s="8" t="s">
        <v>3</v>
      </c>
      <c r="D87" s="11">
        <v>9870.2999999999993</v>
      </c>
      <c r="E87" s="5">
        <v>46005</v>
      </c>
      <c r="F87" s="5">
        <v>46122</v>
      </c>
    </row>
    <row r="88" spans="1:6" ht="15.5" x14ac:dyDescent="0.35">
      <c r="A88" s="6">
        <v>87</v>
      </c>
      <c r="B88" s="5">
        <v>45755</v>
      </c>
      <c r="C88" s="8" t="s">
        <v>9</v>
      </c>
      <c r="D88" s="11">
        <v>645</v>
      </c>
      <c r="E88" s="5">
        <v>45846</v>
      </c>
      <c r="F88" s="5">
        <v>46078</v>
      </c>
    </row>
    <row r="89" spans="1:6" ht="15.5" x14ac:dyDescent="0.35">
      <c r="A89" s="6">
        <v>88</v>
      </c>
      <c r="B89" s="5">
        <v>45964</v>
      </c>
      <c r="C89" s="8" t="s">
        <v>4</v>
      </c>
      <c r="D89" s="11">
        <v>3200</v>
      </c>
      <c r="E89" s="5">
        <v>46056</v>
      </c>
      <c r="F89" s="5">
        <v>45818</v>
      </c>
    </row>
    <row r="90" spans="1:6" ht="15.5" x14ac:dyDescent="0.35">
      <c r="A90" s="6">
        <v>89</v>
      </c>
      <c r="B90" s="5">
        <v>45893</v>
      </c>
      <c r="C90" s="8" t="s">
        <v>0</v>
      </c>
      <c r="D90" s="11">
        <v>150</v>
      </c>
      <c r="E90" s="5">
        <v>45985</v>
      </c>
      <c r="F90" s="5">
        <v>46023</v>
      </c>
    </row>
    <row r="91" spans="1:6" ht="15.5" x14ac:dyDescent="0.35">
      <c r="A91" s="6">
        <v>90</v>
      </c>
      <c r="B91" s="5">
        <v>45698</v>
      </c>
      <c r="C91" s="8" t="s">
        <v>2</v>
      </c>
      <c r="D91" s="11">
        <v>11230</v>
      </c>
      <c r="E91" s="5">
        <v>45787</v>
      </c>
      <c r="F91" s="5">
        <v>46101</v>
      </c>
    </row>
    <row r="92" spans="1:6" ht="15.5" x14ac:dyDescent="0.35">
      <c r="A92" s="6">
        <v>91</v>
      </c>
      <c r="B92" s="5">
        <v>46028</v>
      </c>
      <c r="C92" s="8" t="s">
        <v>16</v>
      </c>
      <c r="D92" s="11">
        <v>4500</v>
      </c>
      <c r="E92" s="5">
        <v>46118</v>
      </c>
      <c r="F92" s="5">
        <v>46096</v>
      </c>
    </row>
    <row r="93" spans="1:6" ht="15.5" x14ac:dyDescent="0.35">
      <c r="A93" s="6">
        <v>92</v>
      </c>
      <c r="B93" s="5">
        <v>45949</v>
      </c>
      <c r="C93" s="8" t="s">
        <v>13</v>
      </c>
      <c r="D93" s="11">
        <v>7890</v>
      </c>
      <c r="E93" s="5">
        <v>46041</v>
      </c>
      <c r="F93" s="5">
        <v>46054</v>
      </c>
    </row>
    <row r="94" spans="1:6" ht="15.5" x14ac:dyDescent="0.35">
      <c r="A94" s="6">
        <v>93</v>
      </c>
      <c r="B94" s="5">
        <v>45839</v>
      </c>
      <c r="C94" s="8" t="s">
        <v>11</v>
      </c>
      <c r="D94" s="11">
        <v>1050</v>
      </c>
      <c r="E94" s="5">
        <v>45931</v>
      </c>
      <c r="F94" s="5">
        <v>46113</v>
      </c>
    </row>
    <row r="95" spans="1:6" ht="15.5" x14ac:dyDescent="0.35">
      <c r="A95" s="6">
        <v>94</v>
      </c>
      <c r="B95" s="5">
        <v>46006</v>
      </c>
      <c r="C95" s="8" t="s">
        <v>15</v>
      </c>
      <c r="D95" s="11">
        <v>3450.9</v>
      </c>
      <c r="E95" s="5">
        <v>46096</v>
      </c>
      <c r="F95" s="5">
        <v>46096</v>
      </c>
    </row>
    <row r="96" spans="1:6" ht="15.5" x14ac:dyDescent="0.35">
      <c r="A96" s="6">
        <v>95</v>
      </c>
      <c r="B96" s="5">
        <v>45786</v>
      </c>
      <c r="C96" s="8" t="s">
        <v>1</v>
      </c>
      <c r="D96" s="11">
        <v>2150</v>
      </c>
      <c r="E96" s="5">
        <v>45878</v>
      </c>
      <c r="F96" s="5">
        <v>45981</v>
      </c>
    </row>
    <row r="97" spans="1:6" ht="15.5" x14ac:dyDescent="0.35">
      <c r="A97" s="6">
        <v>96</v>
      </c>
      <c r="B97" s="5">
        <v>45904</v>
      </c>
      <c r="C97" s="8" t="s">
        <v>18</v>
      </c>
      <c r="D97" s="11">
        <v>99.5</v>
      </c>
      <c r="E97" s="5">
        <v>45995</v>
      </c>
      <c r="F97" s="5">
        <v>46042</v>
      </c>
    </row>
    <row r="98" spans="1:6" ht="15.5" x14ac:dyDescent="0.35">
      <c r="A98" s="6">
        <v>97</v>
      </c>
      <c r="B98" s="5">
        <v>46130</v>
      </c>
      <c r="C98" s="8" t="s">
        <v>0</v>
      </c>
      <c r="D98" s="11">
        <v>12000</v>
      </c>
      <c r="E98" s="5">
        <v>46221</v>
      </c>
      <c r="F98" s="5">
        <v>46091</v>
      </c>
    </row>
    <row r="99" spans="1:6" ht="15.5" x14ac:dyDescent="0.35">
      <c r="A99" s="6">
        <v>98</v>
      </c>
      <c r="B99" s="5">
        <v>45680</v>
      </c>
      <c r="C99" s="8" t="s">
        <v>9</v>
      </c>
      <c r="D99" s="11">
        <v>350</v>
      </c>
      <c r="E99" s="5">
        <v>45770</v>
      </c>
      <c r="F99" s="5">
        <v>46037</v>
      </c>
    </row>
    <row r="100" spans="1:6" ht="15.5" x14ac:dyDescent="0.35">
      <c r="A100" s="6">
        <v>99</v>
      </c>
      <c r="B100" s="5">
        <v>45998</v>
      </c>
      <c r="C100" s="8" t="s">
        <v>3</v>
      </c>
      <c r="D100" s="11">
        <v>6700</v>
      </c>
      <c r="E100" s="5">
        <v>46088</v>
      </c>
      <c r="F100" s="5">
        <v>45809</v>
      </c>
    </row>
    <row r="101" spans="1:6" ht="15.5" x14ac:dyDescent="0.35">
      <c r="A101" s="6">
        <v>100</v>
      </c>
      <c r="B101" s="5">
        <v>46074</v>
      </c>
      <c r="C101" s="8" t="s">
        <v>4</v>
      </c>
      <c r="D101" s="11">
        <v>1450</v>
      </c>
      <c r="E101" s="5">
        <v>46163</v>
      </c>
      <c r="F101" s="5">
        <v>45901</v>
      </c>
    </row>
    <row r="102" spans="1:6" ht="15.5" x14ac:dyDescent="0.35">
      <c r="A102" s="6">
        <v>101</v>
      </c>
      <c r="B102" s="5">
        <v>45843</v>
      </c>
      <c r="C102" s="8" t="s">
        <v>14</v>
      </c>
      <c r="D102" s="11">
        <v>8200</v>
      </c>
      <c r="E102" s="5">
        <v>45935</v>
      </c>
      <c r="F102" s="5">
        <v>45920</v>
      </c>
    </row>
    <row r="103" spans="1:6" ht="15.5" x14ac:dyDescent="0.35">
      <c r="A103" s="6">
        <v>102</v>
      </c>
      <c r="B103" s="5">
        <v>45898</v>
      </c>
      <c r="C103" s="8" t="s">
        <v>2</v>
      </c>
      <c r="D103" s="11">
        <v>500</v>
      </c>
      <c r="E103" s="5">
        <v>45990</v>
      </c>
      <c r="F103" s="5">
        <v>46127</v>
      </c>
    </row>
    <row r="104" spans="1:6" ht="15.5" x14ac:dyDescent="0.35">
      <c r="A104" s="6">
        <v>103</v>
      </c>
      <c r="B104" s="5">
        <v>46033</v>
      </c>
      <c r="C104" s="8" t="s">
        <v>17</v>
      </c>
      <c r="D104" s="11">
        <v>3750</v>
      </c>
      <c r="E104" s="5">
        <v>46123</v>
      </c>
      <c r="F104" s="5"/>
    </row>
    <row r="105" spans="1:6" ht="15.5" x14ac:dyDescent="0.35">
      <c r="A105" s="6">
        <v>104</v>
      </c>
      <c r="B105" s="5">
        <v>46005</v>
      </c>
      <c r="C105" s="8" t="s">
        <v>1</v>
      </c>
      <c r="D105" s="11">
        <v>2900</v>
      </c>
      <c r="E105" s="5">
        <v>46095</v>
      </c>
      <c r="F105" s="5">
        <v>45924</v>
      </c>
    </row>
    <row r="106" spans="1:6" ht="15.5" x14ac:dyDescent="0.35">
      <c r="A106" s="6">
        <v>105</v>
      </c>
      <c r="B106" s="5">
        <v>46056</v>
      </c>
      <c r="C106" s="8" t="s">
        <v>10</v>
      </c>
      <c r="D106" s="11">
        <v>1600</v>
      </c>
      <c r="E106" s="5">
        <v>46145</v>
      </c>
      <c r="F106" s="5"/>
    </row>
    <row r="107" spans="1:6" ht="15.5" x14ac:dyDescent="0.35">
      <c r="A107" s="6">
        <v>106</v>
      </c>
      <c r="B107" s="5">
        <v>45824</v>
      </c>
      <c r="C107" s="8" t="s">
        <v>12</v>
      </c>
      <c r="D107" s="11">
        <v>450</v>
      </c>
      <c r="E107" s="5">
        <v>45916</v>
      </c>
      <c r="F107" s="5">
        <v>46091</v>
      </c>
    </row>
    <row r="108" spans="1:6" ht="15.5" x14ac:dyDescent="0.35">
      <c r="A108" s="6">
        <v>107</v>
      </c>
      <c r="B108" s="5">
        <v>45931</v>
      </c>
      <c r="C108" s="8" t="s">
        <v>19</v>
      </c>
      <c r="D108" s="11">
        <v>1830</v>
      </c>
      <c r="E108" s="5">
        <v>46023</v>
      </c>
      <c r="F108" s="5"/>
    </row>
    <row r="109" spans="1:6" ht="15.5" x14ac:dyDescent="0.35">
      <c r="A109" s="6">
        <v>108</v>
      </c>
      <c r="B109" s="5">
        <v>45715</v>
      </c>
      <c r="C109" s="8" t="s">
        <v>11</v>
      </c>
      <c r="D109" s="11">
        <v>9000</v>
      </c>
      <c r="E109" s="5">
        <v>45804</v>
      </c>
      <c r="F109" s="5">
        <v>46152</v>
      </c>
    </row>
    <row r="110" spans="1:6" ht="15.5" x14ac:dyDescent="0.35">
      <c r="A110" s="6">
        <v>109</v>
      </c>
      <c r="B110" s="5">
        <v>45980</v>
      </c>
      <c r="C110" s="8" t="s">
        <v>0</v>
      </c>
      <c r="D110" s="11">
        <v>125</v>
      </c>
      <c r="E110" s="5">
        <v>46072</v>
      </c>
      <c r="F110" s="5">
        <v>45901</v>
      </c>
    </row>
    <row r="111" spans="1:6" ht="15.5" x14ac:dyDescent="0.35">
      <c r="A111" s="6">
        <v>110</v>
      </c>
      <c r="B111" s="5">
        <v>45912</v>
      </c>
      <c r="C111" s="8" t="s">
        <v>9</v>
      </c>
      <c r="D111" s="11">
        <v>5100</v>
      </c>
      <c r="E111" s="5">
        <v>46003</v>
      </c>
      <c r="F111" s="5">
        <v>45889</v>
      </c>
    </row>
    <row r="112" spans="1:6" ht="15.5" x14ac:dyDescent="0.35">
      <c r="A112" s="6">
        <v>111</v>
      </c>
      <c r="B112" s="5">
        <v>45665</v>
      </c>
      <c r="C112" s="8" t="s">
        <v>3</v>
      </c>
      <c r="D112" s="11">
        <v>1100</v>
      </c>
      <c r="E112" s="5">
        <v>45755</v>
      </c>
      <c r="F112" s="5">
        <v>46162</v>
      </c>
    </row>
    <row r="113" spans="1:6" ht="15.5" x14ac:dyDescent="0.35">
      <c r="A113" s="6">
        <v>112</v>
      </c>
      <c r="B113" s="5">
        <v>45812</v>
      </c>
      <c r="C113" s="8" t="s">
        <v>1</v>
      </c>
      <c r="D113" s="11">
        <v>15000</v>
      </c>
      <c r="E113" s="5">
        <v>45904</v>
      </c>
      <c r="F113" s="5"/>
    </row>
    <row r="114" spans="1:6" ht="15.5" x14ac:dyDescent="0.35">
      <c r="A114" s="6">
        <v>113</v>
      </c>
      <c r="B114" s="5">
        <v>46133</v>
      </c>
      <c r="C114" s="8" t="s">
        <v>4</v>
      </c>
      <c r="D114" s="11">
        <v>2340</v>
      </c>
      <c r="E114" s="5">
        <v>46224</v>
      </c>
      <c r="F114" s="5"/>
    </row>
    <row r="115" spans="1:6" ht="15.5" x14ac:dyDescent="0.35">
      <c r="A115" s="6">
        <v>114</v>
      </c>
      <c r="B115" s="5">
        <v>46096</v>
      </c>
      <c r="C115" s="8" t="s">
        <v>14</v>
      </c>
      <c r="D115" s="11">
        <v>7900</v>
      </c>
      <c r="E115" s="5">
        <v>46188</v>
      </c>
      <c r="F115" s="5">
        <v>46011</v>
      </c>
    </row>
    <row r="116" spans="1:6" ht="15.5" x14ac:dyDescent="0.35">
      <c r="A116" s="6">
        <v>115</v>
      </c>
      <c r="B116" s="5">
        <v>45872</v>
      </c>
      <c r="C116" s="8" t="s">
        <v>2</v>
      </c>
      <c r="D116" s="11">
        <v>400</v>
      </c>
      <c r="E116" s="5">
        <v>45964</v>
      </c>
      <c r="F116" s="5">
        <v>46127</v>
      </c>
    </row>
    <row r="117" spans="1:6" ht="15.5" x14ac:dyDescent="0.35">
      <c r="A117" s="6">
        <v>116</v>
      </c>
      <c r="B117" s="5">
        <v>46019</v>
      </c>
      <c r="C117" s="8" t="s">
        <v>13</v>
      </c>
      <c r="D117" s="11">
        <v>1700</v>
      </c>
      <c r="E117" s="5">
        <v>46109</v>
      </c>
      <c r="F117" s="5">
        <v>45809</v>
      </c>
    </row>
    <row r="118" spans="1:6" ht="15.5" x14ac:dyDescent="0.35">
      <c r="A118" s="6">
        <v>117</v>
      </c>
      <c r="B118" s="5">
        <v>45939</v>
      </c>
      <c r="C118" s="8" t="s">
        <v>15</v>
      </c>
      <c r="D118" s="11">
        <v>5600</v>
      </c>
      <c r="E118" s="5">
        <v>46031</v>
      </c>
      <c r="F118" s="5"/>
    </row>
    <row r="119" spans="1:6" ht="15.5" x14ac:dyDescent="0.35">
      <c r="A119" s="6">
        <v>118</v>
      </c>
      <c r="B119" s="5">
        <v>46073</v>
      </c>
      <c r="C119" s="8" t="s">
        <v>16</v>
      </c>
      <c r="D119" s="11">
        <v>9200</v>
      </c>
      <c r="E119" s="5">
        <v>46162</v>
      </c>
      <c r="F119" s="5">
        <v>45976</v>
      </c>
    </row>
    <row r="120" spans="1:6" ht="15.5" x14ac:dyDescent="0.35">
      <c r="A120" s="6">
        <v>119</v>
      </c>
      <c r="B120" s="5">
        <v>45748</v>
      </c>
      <c r="C120" s="8" t="s">
        <v>0</v>
      </c>
      <c r="D120" s="11">
        <v>3100</v>
      </c>
      <c r="E120" s="5">
        <v>45839</v>
      </c>
      <c r="F120" s="5">
        <v>46101</v>
      </c>
    </row>
    <row r="121" spans="1:6" ht="15.5" x14ac:dyDescent="0.35">
      <c r="A121" s="6">
        <v>120</v>
      </c>
      <c r="B121" s="5">
        <v>46036</v>
      </c>
      <c r="C121" s="8" t="s">
        <v>18</v>
      </c>
      <c r="D121" s="11">
        <v>1200</v>
      </c>
      <c r="E121" s="5">
        <v>46126</v>
      </c>
      <c r="F121" s="5">
        <v>45839</v>
      </c>
    </row>
    <row r="122" spans="1:6" ht="15.5" x14ac:dyDescent="0.35">
      <c r="A122" s="6">
        <v>121</v>
      </c>
      <c r="B122" s="5">
        <v>45987</v>
      </c>
      <c r="C122" s="8" t="s">
        <v>1</v>
      </c>
      <c r="D122" s="11">
        <v>800</v>
      </c>
      <c r="E122" s="5">
        <v>46079</v>
      </c>
      <c r="F122" s="5">
        <v>45981</v>
      </c>
    </row>
    <row r="123" spans="1:6" ht="15.5" x14ac:dyDescent="0.35">
      <c r="A123" s="6">
        <v>122</v>
      </c>
      <c r="B123" s="5">
        <v>45910</v>
      </c>
      <c r="C123" s="8" t="s">
        <v>3</v>
      </c>
      <c r="D123" s="11">
        <v>5500</v>
      </c>
      <c r="E123" s="5">
        <v>46001</v>
      </c>
      <c r="F123" s="5"/>
    </row>
    <row r="124" spans="1:6" ht="15.5" x14ac:dyDescent="0.35">
      <c r="A124" s="6">
        <v>123</v>
      </c>
      <c r="B124" s="5">
        <v>46027</v>
      </c>
      <c r="C124" s="8" t="s">
        <v>11</v>
      </c>
      <c r="D124" s="11">
        <v>12500</v>
      </c>
      <c r="E124" s="5">
        <v>46117</v>
      </c>
      <c r="F124" s="5">
        <v>46162</v>
      </c>
    </row>
    <row r="125" spans="1:6" ht="15.5" x14ac:dyDescent="0.35">
      <c r="A125" s="6">
        <v>124</v>
      </c>
      <c r="B125" s="5">
        <v>45892</v>
      </c>
      <c r="C125" s="8" t="s">
        <v>9</v>
      </c>
      <c r="D125" s="11">
        <v>4800</v>
      </c>
      <c r="E125" s="5">
        <v>45984</v>
      </c>
      <c r="F125" s="5">
        <v>45870</v>
      </c>
    </row>
    <row r="126" spans="1:6" ht="15.5" x14ac:dyDescent="0.35">
      <c r="A126" s="6">
        <v>125</v>
      </c>
      <c r="B126" s="5">
        <v>46008</v>
      </c>
      <c r="C126" s="8" t="s">
        <v>2</v>
      </c>
      <c r="D126" s="11">
        <v>1950</v>
      </c>
      <c r="E126" s="5">
        <v>46098</v>
      </c>
      <c r="F126" s="5"/>
    </row>
    <row r="127" spans="1:6" ht="15.5" x14ac:dyDescent="0.35">
      <c r="A127" s="6">
        <v>126</v>
      </c>
      <c r="B127" s="5">
        <v>45827</v>
      </c>
      <c r="C127" s="8" t="s">
        <v>17</v>
      </c>
      <c r="D127" s="11">
        <v>6000</v>
      </c>
      <c r="E127" s="5">
        <v>45919</v>
      </c>
      <c r="F127" s="5">
        <v>46001</v>
      </c>
    </row>
    <row r="128" spans="1:6" ht="15.5" x14ac:dyDescent="0.35">
      <c r="A128" s="6">
        <v>127</v>
      </c>
      <c r="B128" s="5">
        <v>45634</v>
      </c>
      <c r="C128" s="8" t="s">
        <v>10</v>
      </c>
      <c r="D128" s="11">
        <v>300</v>
      </c>
      <c r="E128" s="5">
        <v>45724</v>
      </c>
      <c r="F128" s="5">
        <v>46068</v>
      </c>
    </row>
    <row r="129" spans="1:6" ht="15.5" x14ac:dyDescent="0.35">
      <c r="A129" s="6">
        <v>128</v>
      </c>
      <c r="B129" s="5">
        <v>45963</v>
      </c>
      <c r="C129" s="8" t="s">
        <v>12</v>
      </c>
      <c r="D129" s="11">
        <v>250</v>
      </c>
      <c r="E129" s="5">
        <v>46055</v>
      </c>
      <c r="F129" s="5">
        <v>46091</v>
      </c>
    </row>
    <row r="130" spans="1:6" ht="15.5" x14ac:dyDescent="0.35">
      <c r="A130" s="6">
        <v>129</v>
      </c>
      <c r="B130" s="5">
        <v>46042</v>
      </c>
      <c r="C130" s="8" t="s">
        <v>1</v>
      </c>
      <c r="D130" s="11">
        <v>8800</v>
      </c>
      <c r="E130" s="5">
        <v>46132</v>
      </c>
      <c r="F130" s="5">
        <v>46223</v>
      </c>
    </row>
    <row r="131" spans="1:6" ht="15.5" x14ac:dyDescent="0.35">
      <c r="A131" s="6">
        <v>130</v>
      </c>
      <c r="B131" s="5">
        <v>45753</v>
      </c>
      <c r="C131" s="8" t="s">
        <v>19</v>
      </c>
      <c r="D131" s="11">
        <v>1100</v>
      </c>
      <c r="E131" s="5">
        <v>45844</v>
      </c>
      <c r="F131" s="5">
        <v>46132</v>
      </c>
    </row>
    <row r="132" spans="1:6" ht="15.5" x14ac:dyDescent="0.35">
      <c r="A132" s="6">
        <v>131</v>
      </c>
      <c r="B132" s="5">
        <v>46066</v>
      </c>
      <c r="C132" s="8" t="s">
        <v>4</v>
      </c>
      <c r="D132" s="11">
        <v>4300</v>
      </c>
      <c r="E132" s="5">
        <v>46155</v>
      </c>
      <c r="F132" s="5">
        <v>46157</v>
      </c>
    </row>
    <row r="133" spans="1:6" ht="15.5" x14ac:dyDescent="0.35">
      <c r="A133" s="6">
        <v>132</v>
      </c>
      <c r="B133" s="5">
        <v>45948</v>
      </c>
      <c r="C133" s="8" t="s">
        <v>14</v>
      </c>
      <c r="D133" s="11">
        <v>900</v>
      </c>
      <c r="E133" s="5">
        <v>46040</v>
      </c>
      <c r="F133" s="5">
        <v>46091</v>
      </c>
    </row>
    <row r="134" spans="1:6" ht="15.5" x14ac:dyDescent="0.35">
      <c r="A134" s="6">
        <v>133</v>
      </c>
      <c r="B134" s="5">
        <v>45862</v>
      </c>
      <c r="C134" s="8" t="s">
        <v>0</v>
      </c>
      <c r="D134" s="11">
        <v>1750</v>
      </c>
      <c r="E134" s="5">
        <v>45954</v>
      </c>
      <c r="F134" s="5">
        <v>45809</v>
      </c>
    </row>
    <row r="135" spans="1:6" ht="15.5" x14ac:dyDescent="0.35">
      <c r="A135" s="6">
        <v>134</v>
      </c>
      <c r="B135" s="5">
        <v>46029</v>
      </c>
      <c r="C135" s="8" t="s">
        <v>3</v>
      </c>
      <c r="D135" s="11">
        <v>2900</v>
      </c>
      <c r="E135" s="5">
        <v>46119</v>
      </c>
      <c r="F135" s="5">
        <v>46037</v>
      </c>
    </row>
    <row r="136" spans="1:6" ht="15.5" x14ac:dyDescent="0.35">
      <c r="A136" s="6">
        <v>135</v>
      </c>
      <c r="B136" s="5">
        <v>46020</v>
      </c>
      <c r="C136" s="8" t="s">
        <v>2</v>
      </c>
      <c r="D136" s="11">
        <v>6200</v>
      </c>
      <c r="E136" s="5">
        <v>46110</v>
      </c>
      <c r="F136" s="5">
        <v>45971</v>
      </c>
    </row>
    <row r="137" spans="1:6" ht="15.5" x14ac:dyDescent="0.35">
      <c r="A137" s="6">
        <v>136</v>
      </c>
      <c r="B137" s="5">
        <v>45879</v>
      </c>
      <c r="C137" s="8" t="s">
        <v>13</v>
      </c>
      <c r="D137" s="11">
        <v>3600</v>
      </c>
      <c r="E137" s="5">
        <v>45971</v>
      </c>
      <c r="F137" s="5">
        <v>46091</v>
      </c>
    </row>
    <row r="138" spans="1:6" ht="15.5" x14ac:dyDescent="0.35">
      <c r="A138" s="6">
        <v>137</v>
      </c>
      <c r="B138" s="5">
        <v>46057</v>
      </c>
      <c r="C138" s="8" t="s">
        <v>15</v>
      </c>
      <c r="D138" s="11">
        <v>1500</v>
      </c>
      <c r="E138" s="5">
        <v>46146</v>
      </c>
      <c r="F138" s="5">
        <v>46152</v>
      </c>
    </row>
    <row r="139" spans="1:6" ht="15.5" x14ac:dyDescent="0.35">
      <c r="A139" s="6">
        <v>138</v>
      </c>
      <c r="B139" s="5">
        <v>45912</v>
      </c>
      <c r="C139" s="8" t="s">
        <v>16</v>
      </c>
      <c r="D139" s="11">
        <v>4900</v>
      </c>
      <c r="E139" s="5">
        <v>46093</v>
      </c>
      <c r="F139" s="5">
        <v>45981</v>
      </c>
    </row>
    <row r="140" spans="1:6" ht="15.5" x14ac:dyDescent="0.35">
      <c r="A140" s="6">
        <v>139</v>
      </c>
      <c r="B140" s="5">
        <v>45717</v>
      </c>
      <c r="C140" s="8" t="s">
        <v>1</v>
      </c>
      <c r="D140" s="11">
        <v>2100</v>
      </c>
      <c r="E140" s="5">
        <v>45809</v>
      </c>
      <c r="F140" s="5">
        <v>46032</v>
      </c>
    </row>
    <row r="141" spans="1:6" ht="15.5" x14ac:dyDescent="0.35">
      <c r="A141" s="6">
        <v>140</v>
      </c>
      <c r="B141" s="5">
        <v>45886</v>
      </c>
      <c r="C141" s="8" t="s">
        <v>18</v>
      </c>
      <c r="D141" s="11">
        <v>7300</v>
      </c>
      <c r="E141" s="5">
        <v>45978</v>
      </c>
      <c r="F141" s="5">
        <v>46096</v>
      </c>
    </row>
    <row r="142" spans="1:6" ht="15.5" x14ac:dyDescent="0.35">
      <c r="A142" s="6">
        <v>141</v>
      </c>
      <c r="B142" s="5">
        <v>45798</v>
      </c>
      <c r="C142" s="8" t="s">
        <v>11</v>
      </c>
      <c r="D142" s="11">
        <v>180</v>
      </c>
      <c r="E142" s="5">
        <v>45890</v>
      </c>
      <c r="F142" s="5">
        <v>45839</v>
      </c>
    </row>
    <row r="143" spans="1:6" ht="15.5" x14ac:dyDescent="0.35">
      <c r="A143" s="6">
        <v>142</v>
      </c>
      <c r="B143" s="5">
        <v>45945</v>
      </c>
      <c r="C143" s="8" t="s">
        <v>9</v>
      </c>
      <c r="D143" s="11">
        <v>5400</v>
      </c>
      <c r="E143" s="5">
        <v>46037</v>
      </c>
      <c r="F143" s="5">
        <v>46096</v>
      </c>
    </row>
    <row r="144" spans="1:6" ht="15.5" x14ac:dyDescent="0.35">
      <c r="A144" s="6">
        <v>143</v>
      </c>
      <c r="B144" s="5">
        <v>46140</v>
      </c>
      <c r="C144" s="8" t="s">
        <v>0</v>
      </c>
      <c r="D144" s="11">
        <v>1350</v>
      </c>
      <c r="E144" s="5">
        <v>46231</v>
      </c>
      <c r="F144" s="5"/>
    </row>
    <row r="145" spans="1:6" ht="15.5" x14ac:dyDescent="0.35">
      <c r="A145" s="6">
        <v>144</v>
      </c>
      <c r="B145" s="5">
        <v>45691</v>
      </c>
      <c r="C145" s="8" t="s">
        <v>3</v>
      </c>
      <c r="D145" s="11">
        <v>9800</v>
      </c>
      <c r="E145" s="5">
        <v>45780</v>
      </c>
      <c r="F145" s="5">
        <v>46162</v>
      </c>
    </row>
    <row r="146" spans="1:6" ht="15.5" x14ac:dyDescent="0.35">
      <c r="A146" s="6">
        <v>145</v>
      </c>
      <c r="B146" s="5">
        <v>45854</v>
      </c>
      <c r="C146" s="8" t="s">
        <v>4</v>
      </c>
      <c r="D146" s="11">
        <v>450</v>
      </c>
      <c r="E146" s="5">
        <v>45946</v>
      </c>
      <c r="F146" s="5">
        <v>46162</v>
      </c>
    </row>
    <row r="147" spans="1:6" ht="15.5" x14ac:dyDescent="0.35">
      <c r="A147" s="6">
        <v>146</v>
      </c>
      <c r="B147" s="5">
        <v>45969</v>
      </c>
      <c r="C147" s="8" t="s">
        <v>2</v>
      </c>
      <c r="D147" s="11">
        <v>2700</v>
      </c>
      <c r="E147" s="5">
        <v>46061</v>
      </c>
      <c r="F147" s="5">
        <v>46143</v>
      </c>
    </row>
    <row r="148" spans="1:6" ht="15.5" x14ac:dyDescent="0.35">
      <c r="A148" s="6">
        <v>147</v>
      </c>
      <c r="B148" s="5">
        <v>45923</v>
      </c>
      <c r="C148" s="8" t="s">
        <v>14</v>
      </c>
      <c r="D148" s="11">
        <v>6500</v>
      </c>
      <c r="E148" s="5">
        <v>46014</v>
      </c>
      <c r="F148" s="5">
        <v>46096</v>
      </c>
    </row>
    <row r="149" spans="1:6" ht="15.5" x14ac:dyDescent="0.35">
      <c r="A149" s="6">
        <v>148</v>
      </c>
      <c r="B149" s="5">
        <v>46002</v>
      </c>
      <c r="C149" s="8" t="s">
        <v>17</v>
      </c>
      <c r="D149" s="11">
        <v>3900</v>
      </c>
      <c r="E149" s="5">
        <v>46092</v>
      </c>
      <c r="F149" s="5">
        <v>45981</v>
      </c>
    </row>
    <row r="150" spans="1:6" ht="15.5" x14ac:dyDescent="0.35">
      <c r="A150" s="6">
        <v>149</v>
      </c>
      <c r="B150" s="5">
        <v>46132</v>
      </c>
      <c r="C150" s="8" t="s">
        <v>1</v>
      </c>
      <c r="D150" s="11">
        <v>8100</v>
      </c>
      <c r="E150" s="5">
        <v>46223</v>
      </c>
      <c r="F150" s="5">
        <v>46096</v>
      </c>
    </row>
    <row r="151" spans="1:6" ht="15.5" x14ac:dyDescent="0.35">
      <c r="A151" s="6">
        <v>150</v>
      </c>
      <c r="B151" s="5">
        <v>45813</v>
      </c>
      <c r="C151" s="8" t="s">
        <v>10</v>
      </c>
      <c r="D151" s="11">
        <v>12000</v>
      </c>
      <c r="E151" s="5">
        <v>45905</v>
      </c>
      <c r="F151" s="5">
        <v>45920</v>
      </c>
    </row>
    <row r="152" spans="1:6" ht="15.5" x14ac:dyDescent="0.35">
      <c r="A152" s="6">
        <v>151</v>
      </c>
      <c r="B152" s="5">
        <v>46039</v>
      </c>
      <c r="C152" s="8" t="s">
        <v>12</v>
      </c>
      <c r="D152" s="11">
        <v>2200</v>
      </c>
      <c r="E152" s="5">
        <v>46129</v>
      </c>
      <c r="F152" s="5">
        <v>45778</v>
      </c>
    </row>
    <row r="153" spans="1:6" ht="15.5" x14ac:dyDescent="0.35">
      <c r="A153" s="6">
        <v>152</v>
      </c>
      <c r="B153" s="5">
        <v>46065</v>
      </c>
      <c r="C153" s="8" t="s">
        <v>19</v>
      </c>
      <c r="D153" s="11">
        <v>1400</v>
      </c>
      <c r="E153" s="5">
        <v>46154</v>
      </c>
      <c r="F153" s="5">
        <v>46091</v>
      </c>
    </row>
    <row r="154" spans="1:6" ht="15.5" x14ac:dyDescent="0.35">
      <c r="A154" s="6">
        <v>153</v>
      </c>
      <c r="B154" s="5">
        <v>45802</v>
      </c>
      <c r="C154" s="8" t="s">
        <v>9</v>
      </c>
      <c r="D154" s="11">
        <v>7700</v>
      </c>
      <c r="E154" s="5">
        <v>45894</v>
      </c>
      <c r="F154" s="5">
        <v>45797</v>
      </c>
    </row>
    <row r="155" spans="1:6" ht="15.5" x14ac:dyDescent="0.35">
      <c r="A155" s="6">
        <v>154</v>
      </c>
      <c r="B155" s="5">
        <v>46001</v>
      </c>
      <c r="C155" s="8" t="s">
        <v>11</v>
      </c>
      <c r="D155" s="11">
        <v>3500</v>
      </c>
      <c r="E155" s="5">
        <v>46091</v>
      </c>
      <c r="F155" s="5">
        <v>45920</v>
      </c>
    </row>
    <row r="156" spans="1:6" ht="15.5" x14ac:dyDescent="0.35">
      <c r="A156" s="6">
        <v>155</v>
      </c>
      <c r="B156" s="5">
        <v>45689</v>
      </c>
      <c r="C156" s="8" t="s">
        <v>0</v>
      </c>
      <c r="D156" s="11">
        <v>9000</v>
      </c>
      <c r="E156" s="5">
        <v>45778</v>
      </c>
      <c r="F156" s="5"/>
    </row>
    <row r="157" spans="1:6" ht="15.5" x14ac:dyDescent="0.35">
      <c r="A157" s="6">
        <v>156</v>
      </c>
      <c r="B157" s="5">
        <v>45823</v>
      </c>
      <c r="C157" s="8" t="s">
        <v>3</v>
      </c>
      <c r="D157" s="11">
        <v>1600</v>
      </c>
      <c r="E157" s="5">
        <v>45915</v>
      </c>
      <c r="F157" s="5"/>
    </row>
    <row r="158" spans="1:6" ht="15.5" x14ac:dyDescent="0.35">
      <c r="A158" s="6">
        <v>157</v>
      </c>
      <c r="B158" s="5">
        <v>45874</v>
      </c>
      <c r="C158" s="8" t="s">
        <v>4</v>
      </c>
      <c r="D158" s="11">
        <v>4600</v>
      </c>
      <c r="E158" s="5">
        <v>45966</v>
      </c>
      <c r="F158" s="5">
        <v>45772</v>
      </c>
    </row>
    <row r="159" spans="1:6" ht="15.5" x14ac:dyDescent="0.35">
      <c r="A159" s="6">
        <v>158</v>
      </c>
      <c r="B159" s="5">
        <v>46132</v>
      </c>
      <c r="C159" s="8" t="s">
        <v>2</v>
      </c>
      <c r="D159" s="11">
        <v>550</v>
      </c>
      <c r="E159" s="5">
        <v>46223</v>
      </c>
      <c r="F159" s="5">
        <v>46047</v>
      </c>
    </row>
    <row r="160" spans="1:6" ht="15.5" x14ac:dyDescent="0.35">
      <c r="A160" s="6">
        <v>159</v>
      </c>
      <c r="B160" s="5">
        <v>45668</v>
      </c>
      <c r="C160" s="8" t="s">
        <v>1</v>
      </c>
      <c r="D160" s="11">
        <v>10500</v>
      </c>
      <c r="E160" s="5">
        <v>45758</v>
      </c>
      <c r="F160" s="5">
        <v>45736</v>
      </c>
    </row>
    <row r="161" spans="1:6" ht="15.5" x14ac:dyDescent="0.35">
      <c r="A161" s="6">
        <v>160</v>
      </c>
      <c r="B161" s="5">
        <v>45933</v>
      </c>
      <c r="C161" s="8" t="s">
        <v>13</v>
      </c>
      <c r="D161" s="11">
        <v>2500</v>
      </c>
      <c r="E161" s="5">
        <v>46025</v>
      </c>
      <c r="F161" s="5"/>
    </row>
    <row r="162" spans="1:6" ht="15.5" x14ac:dyDescent="0.35">
      <c r="A162" s="6">
        <v>161</v>
      </c>
      <c r="B162" s="5">
        <v>45644</v>
      </c>
      <c r="C162" s="8" t="s">
        <v>15</v>
      </c>
      <c r="D162" s="11">
        <v>1900</v>
      </c>
      <c r="E162" s="5">
        <v>45734</v>
      </c>
      <c r="F162" s="5">
        <v>45782</v>
      </c>
    </row>
    <row r="163" spans="1:6" ht="15.5" x14ac:dyDescent="0.35">
      <c r="A163" s="6">
        <v>162</v>
      </c>
      <c r="B163" s="5">
        <v>45963</v>
      </c>
      <c r="C163" s="8" t="s">
        <v>16</v>
      </c>
      <c r="D163" s="11">
        <v>8400</v>
      </c>
      <c r="E163" s="5">
        <v>46055</v>
      </c>
      <c r="F163" s="5"/>
    </row>
    <row r="164" spans="1:6" ht="15.5" x14ac:dyDescent="0.35">
      <c r="A164" s="6">
        <v>163</v>
      </c>
      <c r="B164" s="5">
        <v>45686</v>
      </c>
      <c r="C164" s="8" t="s">
        <v>18</v>
      </c>
      <c r="D164" s="11">
        <v>3200</v>
      </c>
      <c r="E164" s="5">
        <v>45776</v>
      </c>
      <c r="F164" s="5">
        <v>45870</v>
      </c>
    </row>
    <row r="165" spans="1:6" ht="15.5" x14ac:dyDescent="0.35">
      <c r="A165" s="6">
        <v>164</v>
      </c>
      <c r="B165" s="5">
        <v>45914</v>
      </c>
      <c r="C165" s="8" t="s">
        <v>14</v>
      </c>
      <c r="D165" s="11">
        <v>4700</v>
      </c>
      <c r="E165" s="5">
        <v>46005</v>
      </c>
      <c r="F165" s="5"/>
    </row>
    <row r="166" spans="1:6" ht="15.5" x14ac:dyDescent="0.35">
      <c r="A166" s="6">
        <v>165</v>
      </c>
      <c r="B166" s="5">
        <v>45755</v>
      </c>
      <c r="C166" s="8" t="s">
        <v>0</v>
      </c>
      <c r="D166" s="11">
        <v>1150</v>
      </c>
      <c r="E166" s="5">
        <v>45846</v>
      </c>
      <c r="F166" s="5"/>
    </row>
    <row r="167" spans="1:6" ht="15.5" x14ac:dyDescent="0.35">
      <c r="A167" s="6">
        <v>166</v>
      </c>
      <c r="B167" s="5">
        <v>45952</v>
      </c>
      <c r="C167" s="8" t="s">
        <v>9</v>
      </c>
      <c r="D167" s="11">
        <v>5300</v>
      </c>
      <c r="E167" s="5">
        <v>46044</v>
      </c>
      <c r="F167" s="5">
        <v>45823</v>
      </c>
    </row>
    <row r="168" spans="1:6" ht="15.5" x14ac:dyDescent="0.35">
      <c r="A168" s="6">
        <v>167</v>
      </c>
      <c r="B168" s="5">
        <v>46039</v>
      </c>
      <c r="C168" s="8" t="s">
        <v>3</v>
      </c>
      <c r="D168" s="11">
        <v>15000</v>
      </c>
      <c r="E168" s="5">
        <v>46129</v>
      </c>
      <c r="F168" s="5"/>
    </row>
    <row r="169" spans="1:6" ht="15.5" x14ac:dyDescent="0.35">
      <c r="A169" s="6">
        <v>168</v>
      </c>
      <c r="B169" s="5">
        <v>45722</v>
      </c>
      <c r="C169" s="8" t="s">
        <v>4</v>
      </c>
      <c r="D169" s="11">
        <v>650</v>
      </c>
      <c r="E169" s="5">
        <v>45814</v>
      </c>
      <c r="F169" s="5"/>
    </row>
    <row r="170" spans="1:6" ht="15.5" x14ac:dyDescent="0.35">
      <c r="A170" s="6">
        <v>169</v>
      </c>
      <c r="B170" s="5">
        <v>46000</v>
      </c>
      <c r="C170" s="8" t="s">
        <v>1</v>
      </c>
      <c r="D170" s="11">
        <v>2800</v>
      </c>
      <c r="E170" s="5">
        <v>46090</v>
      </c>
      <c r="F170" s="5">
        <v>45767</v>
      </c>
    </row>
    <row r="171" spans="1:6" ht="15.5" x14ac:dyDescent="0.35">
      <c r="A171" s="6">
        <v>170</v>
      </c>
      <c r="B171" s="5">
        <v>45980</v>
      </c>
      <c r="C171" s="8" t="s">
        <v>2</v>
      </c>
      <c r="D171" s="11">
        <v>1850</v>
      </c>
      <c r="E171" s="5">
        <v>46072</v>
      </c>
      <c r="F171" s="5">
        <v>45962</v>
      </c>
    </row>
    <row r="172" spans="1:6" ht="15.5" x14ac:dyDescent="0.35">
      <c r="A172" s="6">
        <v>171</v>
      </c>
      <c r="B172" s="5">
        <v>45678</v>
      </c>
      <c r="C172" s="8" t="s">
        <v>17</v>
      </c>
      <c r="D172" s="11">
        <v>7100</v>
      </c>
      <c r="E172" s="5">
        <v>45768</v>
      </c>
      <c r="F172" s="5"/>
    </row>
    <row r="173" spans="1:6" ht="15.5" x14ac:dyDescent="0.35">
      <c r="A173" s="6">
        <v>172</v>
      </c>
      <c r="B173" s="5">
        <v>45842</v>
      </c>
      <c r="C173" s="8" t="s">
        <v>10</v>
      </c>
      <c r="D173" s="11">
        <v>2600</v>
      </c>
      <c r="E173" s="5">
        <v>45934</v>
      </c>
      <c r="F173" s="5">
        <v>46023</v>
      </c>
    </row>
    <row r="174" spans="1:6" ht="15.5" x14ac:dyDescent="0.35">
      <c r="A174" s="6">
        <v>173</v>
      </c>
      <c r="B174" s="5">
        <v>45998</v>
      </c>
      <c r="C174" s="8" t="s">
        <v>12</v>
      </c>
      <c r="D174" s="11">
        <v>4400</v>
      </c>
      <c r="E174" s="5">
        <v>46088</v>
      </c>
      <c r="F174" s="5"/>
    </row>
    <row r="175" spans="1:6" ht="15.5" x14ac:dyDescent="0.35">
      <c r="A175" s="6">
        <v>174</v>
      </c>
      <c r="B175" s="5">
        <v>45923</v>
      </c>
      <c r="C175" s="8" t="s">
        <v>19</v>
      </c>
      <c r="D175" s="11">
        <v>9500</v>
      </c>
      <c r="E175" s="5">
        <v>46014</v>
      </c>
      <c r="F175" s="5">
        <v>45853</v>
      </c>
    </row>
    <row r="176" spans="1:6" ht="15.5" x14ac:dyDescent="0.35">
      <c r="A176" s="6">
        <v>175</v>
      </c>
      <c r="B176" s="5">
        <v>46066</v>
      </c>
      <c r="C176" s="8" t="s">
        <v>11</v>
      </c>
      <c r="D176" s="11">
        <v>3300</v>
      </c>
      <c r="E176" s="5">
        <v>46155</v>
      </c>
      <c r="F176" s="5"/>
    </row>
    <row r="177" spans="1:6" ht="15.5" x14ac:dyDescent="0.35">
      <c r="A177" s="6">
        <v>176</v>
      </c>
      <c r="B177" s="5">
        <v>45748</v>
      </c>
      <c r="C177" s="8" t="s">
        <v>0</v>
      </c>
      <c r="D177" s="11">
        <v>1550</v>
      </c>
      <c r="E177" s="5">
        <v>45839</v>
      </c>
      <c r="F177" s="5">
        <v>45813</v>
      </c>
    </row>
    <row r="178" spans="1:6" ht="15.5" x14ac:dyDescent="0.35">
      <c r="A178" s="6">
        <v>177</v>
      </c>
      <c r="B178" s="5">
        <v>46008</v>
      </c>
      <c r="C178" s="8" t="s">
        <v>9</v>
      </c>
      <c r="D178" s="11">
        <v>5900</v>
      </c>
      <c r="E178" s="5">
        <v>46098</v>
      </c>
      <c r="F178" s="5">
        <v>45971</v>
      </c>
    </row>
    <row r="179" spans="1:6" ht="15.5" x14ac:dyDescent="0.35">
      <c r="A179" s="6">
        <v>178</v>
      </c>
      <c r="B179" s="5">
        <v>45716</v>
      </c>
      <c r="C179" s="8" t="s">
        <v>3</v>
      </c>
      <c r="D179" s="11">
        <v>2750</v>
      </c>
      <c r="E179" s="5">
        <v>45805</v>
      </c>
      <c r="F179" s="5"/>
    </row>
    <row r="180" spans="1:6" ht="15.5" x14ac:dyDescent="0.35">
      <c r="A180" s="6">
        <v>179</v>
      </c>
      <c r="B180" s="5">
        <v>45871</v>
      </c>
      <c r="C180" s="8" t="s">
        <v>1</v>
      </c>
      <c r="D180" s="11">
        <v>1000</v>
      </c>
      <c r="E180" s="5">
        <v>45963</v>
      </c>
      <c r="F180" s="5">
        <v>45767</v>
      </c>
    </row>
    <row r="181" spans="1:6" ht="15.5" x14ac:dyDescent="0.35">
      <c r="A181" s="6">
        <v>180</v>
      </c>
      <c r="B181" s="5">
        <v>45941</v>
      </c>
      <c r="C181" s="8" t="s">
        <v>4</v>
      </c>
      <c r="D181" s="11">
        <v>6800</v>
      </c>
      <c r="E181" s="5">
        <v>46033</v>
      </c>
      <c r="F181" s="5">
        <v>45818</v>
      </c>
    </row>
    <row r="182" spans="1:6" ht="15.5" x14ac:dyDescent="0.35">
      <c r="A182" s="6">
        <v>181</v>
      </c>
      <c r="B182" s="5">
        <v>45661</v>
      </c>
      <c r="C182" s="8" t="s">
        <v>2</v>
      </c>
      <c r="D182" s="11">
        <v>1890.5</v>
      </c>
      <c r="E182" s="5">
        <v>45751</v>
      </c>
      <c r="F182" s="5"/>
    </row>
    <row r="183" spans="1:6" ht="15.5" x14ac:dyDescent="0.35">
      <c r="A183" s="6">
        <v>182</v>
      </c>
      <c r="B183" s="5">
        <v>45732</v>
      </c>
      <c r="C183" s="8" t="s">
        <v>13</v>
      </c>
      <c r="D183" s="11">
        <v>4100</v>
      </c>
      <c r="E183" s="5">
        <v>45824</v>
      </c>
      <c r="F183" s="5"/>
    </row>
    <row r="184" spans="1:6" ht="15.5" x14ac:dyDescent="0.35">
      <c r="A184" s="6">
        <v>183</v>
      </c>
      <c r="B184" s="5">
        <v>45988</v>
      </c>
      <c r="C184" s="8" t="s">
        <v>14</v>
      </c>
      <c r="D184" s="11">
        <v>750</v>
      </c>
      <c r="E184" s="5">
        <v>46080</v>
      </c>
      <c r="F184" s="5">
        <v>45931</v>
      </c>
    </row>
    <row r="185" spans="1:6" ht="15.5" x14ac:dyDescent="0.35">
      <c r="A185" s="6">
        <v>184</v>
      </c>
      <c r="B185" s="5">
        <v>46034</v>
      </c>
      <c r="C185" s="8" t="s">
        <v>15</v>
      </c>
      <c r="D185" s="11">
        <v>2980</v>
      </c>
      <c r="E185" s="5">
        <v>46124</v>
      </c>
      <c r="F185" s="5">
        <v>45736</v>
      </c>
    </row>
    <row r="186" spans="1:6" ht="15.5" x14ac:dyDescent="0.35">
      <c r="A186" s="6">
        <v>185</v>
      </c>
      <c r="B186" s="5">
        <v>45813</v>
      </c>
      <c r="C186" s="8" t="s">
        <v>16</v>
      </c>
      <c r="D186" s="11">
        <v>1250</v>
      </c>
      <c r="E186" s="5">
        <v>45905</v>
      </c>
      <c r="F186" s="5">
        <v>45976</v>
      </c>
    </row>
    <row r="187" spans="1:6" ht="15.5" x14ac:dyDescent="0.35">
      <c r="A187" s="6">
        <v>186</v>
      </c>
      <c r="B187" s="5">
        <v>45646</v>
      </c>
      <c r="C187" s="8" t="s">
        <v>18</v>
      </c>
      <c r="D187" s="11">
        <v>9870.2999999999993</v>
      </c>
      <c r="E187" s="5">
        <v>45736</v>
      </c>
      <c r="F187" s="5">
        <v>45915</v>
      </c>
    </row>
    <row r="188" spans="1:6" ht="15.5" x14ac:dyDescent="0.35">
      <c r="A188" s="6">
        <v>187</v>
      </c>
      <c r="B188" s="5">
        <v>45882</v>
      </c>
      <c r="C188" s="8" t="s">
        <v>0</v>
      </c>
      <c r="D188" s="11">
        <v>645</v>
      </c>
      <c r="E188" s="5">
        <v>45974</v>
      </c>
      <c r="F188" s="5">
        <v>45962</v>
      </c>
    </row>
    <row r="189" spans="1:6" ht="15.5" x14ac:dyDescent="0.35">
      <c r="A189" s="6">
        <v>188</v>
      </c>
      <c r="B189" s="5">
        <v>45786</v>
      </c>
      <c r="C189" s="8" t="s">
        <v>9</v>
      </c>
      <c r="D189" s="11">
        <v>3200</v>
      </c>
      <c r="E189" s="5">
        <v>45878</v>
      </c>
      <c r="F189" s="5"/>
    </row>
    <row r="190" spans="1:6" ht="15.5" x14ac:dyDescent="0.35">
      <c r="A190" s="6">
        <v>189</v>
      </c>
      <c r="B190" s="5">
        <v>45862</v>
      </c>
      <c r="C190" s="8" t="s">
        <v>3</v>
      </c>
      <c r="D190" s="11">
        <v>150</v>
      </c>
      <c r="E190" s="5">
        <v>45954</v>
      </c>
      <c r="F190" s="5">
        <v>45736</v>
      </c>
    </row>
    <row r="191" spans="1:6" ht="15.5" x14ac:dyDescent="0.35">
      <c r="A191" s="6">
        <v>190</v>
      </c>
      <c r="B191" s="5">
        <v>46056</v>
      </c>
      <c r="C191" s="8" t="s">
        <v>1</v>
      </c>
      <c r="D191" s="11">
        <v>11230</v>
      </c>
      <c r="E191" s="5">
        <v>46145</v>
      </c>
      <c r="F191" s="5"/>
    </row>
    <row r="192" spans="1:6" ht="15.5" x14ac:dyDescent="0.35">
      <c r="A192" s="6">
        <v>191</v>
      </c>
      <c r="B192" s="5">
        <v>45641</v>
      </c>
      <c r="C192" s="8" t="s">
        <v>4</v>
      </c>
      <c r="D192" s="11">
        <v>4500</v>
      </c>
      <c r="E192" s="5">
        <v>45731</v>
      </c>
      <c r="F192" s="5">
        <v>46006</v>
      </c>
    </row>
    <row r="193" spans="1:6" ht="15.5" x14ac:dyDescent="0.35">
      <c r="A193" s="6">
        <v>192</v>
      </c>
      <c r="B193" s="5">
        <v>45951</v>
      </c>
      <c r="C193" s="8" t="s">
        <v>2</v>
      </c>
      <c r="D193" s="11">
        <v>7890</v>
      </c>
      <c r="E193" s="5">
        <v>46043</v>
      </c>
      <c r="F193" s="5">
        <v>45905</v>
      </c>
    </row>
    <row r="194" spans="1:6" ht="15.5" x14ac:dyDescent="0.35">
      <c r="A194" s="6">
        <v>193</v>
      </c>
      <c r="B194" s="5">
        <v>45910</v>
      </c>
      <c r="C194" s="8" t="s">
        <v>17</v>
      </c>
      <c r="D194" s="11">
        <v>1050</v>
      </c>
      <c r="E194" s="5">
        <v>46001</v>
      </c>
      <c r="F194" s="5">
        <v>45828</v>
      </c>
    </row>
    <row r="195" spans="1:6" ht="15.5" x14ac:dyDescent="0.35">
      <c r="A195" s="6">
        <v>194</v>
      </c>
      <c r="B195" s="5">
        <v>45805</v>
      </c>
      <c r="C195" s="8" t="s">
        <v>10</v>
      </c>
      <c r="D195" s="11">
        <v>3450.9</v>
      </c>
      <c r="E195" s="5">
        <v>45897</v>
      </c>
      <c r="F195" s="5"/>
    </row>
    <row r="196" spans="1:6" ht="15.5" x14ac:dyDescent="0.35">
      <c r="A196" s="6">
        <v>195</v>
      </c>
      <c r="B196" s="5">
        <v>45717</v>
      </c>
      <c r="C196" s="8" t="s">
        <v>12</v>
      </c>
      <c r="D196" s="11">
        <v>2150</v>
      </c>
      <c r="E196" s="5">
        <v>45809</v>
      </c>
      <c r="F196" s="5"/>
    </row>
    <row r="197" spans="1:6" ht="15.5" x14ac:dyDescent="0.35">
      <c r="A197" s="6">
        <v>196</v>
      </c>
      <c r="B197" s="5">
        <v>46029</v>
      </c>
      <c r="C197" s="8" t="s">
        <v>19</v>
      </c>
      <c r="D197" s="11">
        <v>99.5</v>
      </c>
      <c r="E197" s="5">
        <v>46119</v>
      </c>
      <c r="F197" s="5"/>
    </row>
    <row r="198" spans="1:6" ht="15.5" x14ac:dyDescent="0.35">
      <c r="A198" s="6">
        <v>197</v>
      </c>
      <c r="B198" s="5">
        <v>46079</v>
      </c>
      <c r="C198" s="8" t="s">
        <v>11</v>
      </c>
      <c r="D198" s="11">
        <v>12000</v>
      </c>
      <c r="E198" s="5">
        <v>46168</v>
      </c>
      <c r="F198" s="5"/>
    </row>
    <row r="199" spans="1:6" ht="15.5" x14ac:dyDescent="0.35">
      <c r="A199" s="6">
        <v>198</v>
      </c>
      <c r="B199" s="5">
        <v>45980</v>
      </c>
      <c r="C199" s="8" t="s">
        <v>0</v>
      </c>
      <c r="D199" s="11">
        <v>350</v>
      </c>
      <c r="E199" s="5">
        <v>46072</v>
      </c>
      <c r="F199" s="5">
        <v>45962</v>
      </c>
    </row>
    <row r="200" spans="1:6" ht="15.5" x14ac:dyDescent="0.35">
      <c r="A200" s="6">
        <v>199</v>
      </c>
      <c r="B200" s="5">
        <v>46005</v>
      </c>
      <c r="C200" s="8" t="s">
        <v>9</v>
      </c>
      <c r="D200" s="11">
        <v>6700</v>
      </c>
      <c r="E200" s="5">
        <v>46095</v>
      </c>
      <c r="F200" s="5"/>
    </row>
    <row r="201" spans="1:6" ht="15.5" x14ac:dyDescent="0.35">
      <c r="A201" s="6">
        <v>200</v>
      </c>
      <c r="B201" s="5">
        <v>45858</v>
      </c>
      <c r="C201" s="8" t="s">
        <v>3</v>
      </c>
      <c r="D201" s="11">
        <v>1450</v>
      </c>
      <c r="E201" s="5">
        <v>45950</v>
      </c>
      <c r="F201" s="5">
        <v>45920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2BC1-84A4-4280-BEAB-AE99592285DD}">
  <dimension ref="A1:I201"/>
  <sheetViews>
    <sheetView topLeftCell="D1" workbookViewId="0">
      <pane ySplit="1" topLeftCell="A189" activePane="bottomLeft" state="frozen"/>
      <selection pane="bottomLeft" activeCell="D152" sqref="D152"/>
    </sheetView>
  </sheetViews>
  <sheetFormatPr defaultRowHeight="14.5" x14ac:dyDescent="0.35"/>
  <cols>
    <col min="1" max="1" width="20.1796875" style="3" customWidth="1"/>
    <col min="2" max="2" width="18.08984375" style="3" customWidth="1"/>
    <col min="3" max="3" width="15.08984375" style="9" customWidth="1"/>
    <col min="4" max="4" width="18.54296875" style="12" customWidth="1"/>
    <col min="5" max="5" width="13.90625" style="3" customWidth="1"/>
    <col min="6" max="6" width="16.90625" style="3" customWidth="1"/>
    <col min="7" max="7" width="18.54296875" style="12" customWidth="1"/>
    <col min="8" max="8" width="21.54296875" customWidth="1"/>
    <col min="9" max="9" width="19.54296875" style="14" customWidth="1"/>
  </cols>
  <sheetData>
    <row r="1" spans="1:9" ht="15.5" x14ac:dyDescent="0.35">
      <c r="A1" s="1" t="s">
        <v>6</v>
      </c>
      <c r="B1" s="1" t="s">
        <v>20</v>
      </c>
      <c r="C1" s="7" t="s">
        <v>5</v>
      </c>
      <c r="D1" s="10" t="s">
        <v>7</v>
      </c>
      <c r="E1" s="1" t="s">
        <v>8</v>
      </c>
      <c r="F1" s="1" t="s">
        <v>25</v>
      </c>
      <c r="G1" s="10" t="s">
        <v>24</v>
      </c>
      <c r="H1" s="1" t="s">
        <v>23</v>
      </c>
      <c r="I1" s="1" t="s">
        <v>22</v>
      </c>
    </row>
    <row r="2" spans="1:9" ht="15.5" x14ac:dyDescent="0.35">
      <c r="A2" s="6">
        <v>1</v>
      </c>
      <c r="B2" s="5">
        <v>45802</v>
      </c>
      <c r="C2" s="8" t="s">
        <v>10</v>
      </c>
      <c r="D2" s="11">
        <v>450</v>
      </c>
      <c r="E2" s="5">
        <v>45894</v>
      </c>
      <c r="F2" s="5">
        <v>45889</v>
      </c>
      <c r="G2" s="5">
        <v>45981</v>
      </c>
      <c r="H2" s="2" t="str">
        <f t="shared" ref="H2:H66" si="0">IF(F2&lt;&gt;"","Paid",IF(E2&lt;$G$2,"Overdue","Unpaid"))</f>
        <v>Paid</v>
      </c>
      <c r="I2" s="13">
        <f>IF(H2="Overdue", G2-E2, 0)</f>
        <v>0</v>
      </c>
    </row>
    <row r="3" spans="1:9" ht="15.5" x14ac:dyDescent="0.35">
      <c r="A3" s="6">
        <v>2</v>
      </c>
      <c r="B3" s="5">
        <v>46001</v>
      </c>
      <c r="C3" s="8" t="s">
        <v>11</v>
      </c>
      <c r="D3" s="11">
        <v>3562</v>
      </c>
      <c r="E3" s="5">
        <v>46091</v>
      </c>
      <c r="F3" s="5"/>
      <c r="G3" s="5">
        <v>45981</v>
      </c>
      <c r="H3" s="2" t="str">
        <f t="shared" si="0"/>
        <v>Unpaid</v>
      </c>
      <c r="I3" s="13">
        <f t="shared" ref="I3:I66" si="1">IF(H3="Overdue", G3-E3, 0)</f>
        <v>0</v>
      </c>
    </row>
    <row r="4" spans="1:9" ht="15.5" x14ac:dyDescent="0.35">
      <c r="A4" s="6">
        <v>3</v>
      </c>
      <c r="B4" s="5">
        <v>45689</v>
      </c>
      <c r="C4" s="8" t="s">
        <v>0</v>
      </c>
      <c r="D4" s="11">
        <v>2700</v>
      </c>
      <c r="E4" s="5">
        <v>45778</v>
      </c>
      <c r="F4" s="5">
        <v>45792</v>
      </c>
      <c r="G4" s="5">
        <v>45981</v>
      </c>
      <c r="H4" s="2" t="str">
        <f t="shared" si="0"/>
        <v>Paid</v>
      </c>
      <c r="I4" s="13">
        <f t="shared" si="1"/>
        <v>0</v>
      </c>
    </row>
    <row r="5" spans="1:9" ht="15.5" x14ac:dyDescent="0.35">
      <c r="A5" s="6">
        <v>4</v>
      </c>
      <c r="B5" s="5">
        <v>45823</v>
      </c>
      <c r="C5" s="8" t="s">
        <v>9</v>
      </c>
      <c r="D5" s="11">
        <v>399.36</v>
      </c>
      <c r="E5" s="5">
        <v>45915</v>
      </c>
      <c r="F5" s="5">
        <v>45935</v>
      </c>
      <c r="G5" s="5">
        <v>45981</v>
      </c>
      <c r="H5" s="2" t="str">
        <f t="shared" si="0"/>
        <v>Paid</v>
      </c>
      <c r="I5" s="13">
        <f t="shared" si="1"/>
        <v>0</v>
      </c>
    </row>
    <row r="6" spans="1:9" ht="15.5" x14ac:dyDescent="0.35">
      <c r="A6" s="6">
        <v>5</v>
      </c>
      <c r="B6" s="5">
        <v>45874</v>
      </c>
      <c r="C6" s="8" t="s">
        <v>1</v>
      </c>
      <c r="D6" s="11">
        <v>960</v>
      </c>
      <c r="E6" s="5">
        <v>45966</v>
      </c>
      <c r="F6" s="5"/>
      <c r="G6" s="5">
        <v>45981</v>
      </c>
      <c r="H6" s="2" t="str">
        <f t="shared" si="0"/>
        <v>Overdue</v>
      </c>
      <c r="I6" s="13">
        <f t="shared" si="1"/>
        <v>15</v>
      </c>
    </row>
    <row r="7" spans="1:9" ht="15.5" x14ac:dyDescent="0.35">
      <c r="A7" s="6">
        <v>6</v>
      </c>
      <c r="B7" s="5">
        <v>46132</v>
      </c>
      <c r="C7" s="8" t="s">
        <v>12</v>
      </c>
      <c r="D7" s="11">
        <v>7916.67</v>
      </c>
      <c r="E7" s="5">
        <v>46223</v>
      </c>
      <c r="F7" s="5"/>
      <c r="G7" s="5">
        <v>45981</v>
      </c>
      <c r="H7" s="2" t="str">
        <f t="shared" si="0"/>
        <v>Unpaid</v>
      </c>
      <c r="I7" s="13">
        <f t="shared" si="1"/>
        <v>0</v>
      </c>
    </row>
    <row r="8" spans="1:9" ht="15.5" x14ac:dyDescent="0.35">
      <c r="A8" s="6">
        <v>7</v>
      </c>
      <c r="B8" s="5">
        <v>45668</v>
      </c>
      <c r="C8" s="8" t="s">
        <v>13</v>
      </c>
      <c r="D8" s="11">
        <v>3360</v>
      </c>
      <c r="E8" s="5">
        <v>45758</v>
      </c>
      <c r="F8" s="5">
        <v>45788</v>
      </c>
      <c r="G8" s="5">
        <v>45981</v>
      </c>
      <c r="H8" s="2" t="str">
        <f t="shared" si="0"/>
        <v>Paid</v>
      </c>
      <c r="I8" s="13">
        <f t="shared" si="1"/>
        <v>0</v>
      </c>
    </row>
    <row r="9" spans="1:9" ht="15.5" x14ac:dyDescent="0.35">
      <c r="A9" s="6">
        <v>8</v>
      </c>
      <c r="B9" s="5">
        <v>45933</v>
      </c>
      <c r="C9" s="8" t="s">
        <v>0</v>
      </c>
      <c r="D9" s="11">
        <v>1839.36</v>
      </c>
      <c r="E9" s="5">
        <v>46025</v>
      </c>
      <c r="F9" s="5"/>
      <c r="G9" s="5">
        <v>45981</v>
      </c>
      <c r="H9" s="2" t="str">
        <f t="shared" si="0"/>
        <v>Unpaid</v>
      </c>
      <c r="I9" s="13">
        <f t="shared" si="1"/>
        <v>0</v>
      </c>
    </row>
    <row r="10" spans="1:9" ht="15.5" x14ac:dyDescent="0.35">
      <c r="A10" s="6">
        <v>9</v>
      </c>
      <c r="B10" s="5">
        <v>45644</v>
      </c>
      <c r="C10" s="8" t="s">
        <v>2</v>
      </c>
      <c r="D10" s="11">
        <v>477.48</v>
      </c>
      <c r="E10" s="5">
        <v>45734</v>
      </c>
      <c r="F10" s="5">
        <v>45736</v>
      </c>
      <c r="G10" s="5">
        <v>45981</v>
      </c>
      <c r="H10" s="2" t="str">
        <f t="shared" si="0"/>
        <v>Paid</v>
      </c>
      <c r="I10" s="13">
        <f t="shared" si="1"/>
        <v>0</v>
      </c>
    </row>
    <row r="11" spans="1:9" ht="15.5" x14ac:dyDescent="0.35">
      <c r="A11" s="6">
        <v>10</v>
      </c>
      <c r="B11" s="5">
        <v>45963</v>
      </c>
      <c r="C11" s="8" t="s">
        <v>14</v>
      </c>
      <c r="D11" s="11">
        <v>750</v>
      </c>
      <c r="E11" s="5">
        <v>46055</v>
      </c>
      <c r="F11" s="5"/>
      <c r="G11" s="5">
        <v>45981</v>
      </c>
      <c r="H11" s="2" t="str">
        <f t="shared" si="0"/>
        <v>Unpaid</v>
      </c>
      <c r="I11" s="13">
        <f t="shared" si="1"/>
        <v>0</v>
      </c>
    </row>
    <row r="12" spans="1:9" ht="15.5" x14ac:dyDescent="0.35">
      <c r="A12" s="6">
        <v>11</v>
      </c>
      <c r="B12" s="5">
        <v>45686</v>
      </c>
      <c r="C12" s="8" t="s">
        <v>3</v>
      </c>
      <c r="D12" s="11">
        <v>750</v>
      </c>
      <c r="E12" s="5">
        <v>45776</v>
      </c>
      <c r="F12" s="5">
        <v>45782</v>
      </c>
      <c r="G12" s="5">
        <v>45981</v>
      </c>
      <c r="H12" s="2" t="str">
        <f t="shared" si="0"/>
        <v>Paid</v>
      </c>
      <c r="I12" s="13">
        <f t="shared" si="1"/>
        <v>0</v>
      </c>
    </row>
    <row r="13" spans="1:9" ht="15.5" x14ac:dyDescent="0.35">
      <c r="A13" s="6">
        <v>12</v>
      </c>
      <c r="B13" s="5">
        <v>45914</v>
      </c>
      <c r="C13" s="8" t="s">
        <v>15</v>
      </c>
      <c r="D13" s="11">
        <v>3284.5</v>
      </c>
      <c r="E13" s="5">
        <v>46005</v>
      </c>
      <c r="F13" s="5"/>
      <c r="G13" s="5">
        <v>45981</v>
      </c>
      <c r="H13" s="2" t="str">
        <f t="shared" si="0"/>
        <v>Unpaid</v>
      </c>
      <c r="I13" s="13">
        <f t="shared" si="1"/>
        <v>0</v>
      </c>
    </row>
    <row r="14" spans="1:9" ht="15.5" x14ac:dyDescent="0.35">
      <c r="A14" s="6">
        <v>13</v>
      </c>
      <c r="B14" s="5">
        <v>45755</v>
      </c>
      <c r="C14" s="8" t="s">
        <v>11</v>
      </c>
      <c r="D14" s="11">
        <v>4320</v>
      </c>
      <c r="E14" s="5">
        <v>45846</v>
      </c>
      <c r="F14" s="5">
        <v>45870</v>
      </c>
      <c r="G14" s="5">
        <v>45981</v>
      </c>
      <c r="H14" s="2" t="str">
        <f t="shared" si="0"/>
        <v>Paid</v>
      </c>
      <c r="I14" s="13">
        <f t="shared" si="1"/>
        <v>0</v>
      </c>
    </row>
    <row r="15" spans="1:9" ht="15.5" x14ac:dyDescent="0.35">
      <c r="A15" s="6">
        <v>14</v>
      </c>
      <c r="B15" s="5">
        <v>45952</v>
      </c>
      <c r="C15" s="8" t="s">
        <v>16</v>
      </c>
      <c r="D15" s="11">
        <v>9600</v>
      </c>
      <c r="E15" s="5">
        <v>46044</v>
      </c>
      <c r="F15" s="5"/>
      <c r="G15" s="5">
        <v>45981</v>
      </c>
      <c r="H15" s="2" t="str">
        <f t="shared" si="0"/>
        <v>Unpaid</v>
      </c>
      <c r="I15" s="13">
        <f t="shared" si="1"/>
        <v>0</v>
      </c>
    </row>
    <row r="16" spans="1:9" ht="15.5" x14ac:dyDescent="0.35">
      <c r="A16" s="6">
        <v>15</v>
      </c>
      <c r="B16" s="5">
        <v>46039</v>
      </c>
      <c r="C16" s="8" t="s">
        <v>1</v>
      </c>
      <c r="D16" s="11">
        <v>234</v>
      </c>
      <c r="E16" s="5">
        <v>46129</v>
      </c>
      <c r="F16" s="5"/>
      <c r="G16" s="5">
        <v>45981</v>
      </c>
      <c r="H16" s="2" t="str">
        <f t="shared" si="0"/>
        <v>Unpaid</v>
      </c>
      <c r="I16" s="13">
        <f t="shared" si="1"/>
        <v>0</v>
      </c>
    </row>
    <row r="17" spans="1:9" ht="15.5" x14ac:dyDescent="0.35">
      <c r="A17" s="6">
        <v>16</v>
      </c>
      <c r="B17" s="5">
        <v>45722</v>
      </c>
      <c r="C17" s="8" t="s">
        <v>4</v>
      </c>
      <c r="D17" s="11">
        <v>12000</v>
      </c>
      <c r="E17" s="5">
        <v>45814</v>
      </c>
      <c r="F17" s="5">
        <v>45818</v>
      </c>
      <c r="G17" s="5">
        <v>45981</v>
      </c>
      <c r="H17" s="2" t="str">
        <f t="shared" si="0"/>
        <v>Paid</v>
      </c>
      <c r="I17" s="13">
        <f t="shared" si="1"/>
        <v>0</v>
      </c>
    </row>
    <row r="18" spans="1:9" ht="15.5" x14ac:dyDescent="0.35">
      <c r="A18" s="6">
        <v>17</v>
      </c>
      <c r="B18" s="5">
        <v>46000</v>
      </c>
      <c r="C18" s="8" t="s">
        <v>3</v>
      </c>
      <c r="D18" s="11">
        <v>123</v>
      </c>
      <c r="E18" s="5">
        <v>46090</v>
      </c>
      <c r="F18" s="5"/>
      <c r="G18" s="5">
        <v>45981</v>
      </c>
      <c r="H18" s="2" t="str">
        <f t="shared" si="0"/>
        <v>Unpaid</v>
      </c>
      <c r="I18" s="13">
        <f t="shared" si="1"/>
        <v>0</v>
      </c>
    </row>
    <row r="19" spans="1:9" ht="15.5" x14ac:dyDescent="0.35">
      <c r="A19" s="6">
        <v>18</v>
      </c>
      <c r="B19" s="5">
        <v>45980</v>
      </c>
      <c r="C19" s="8" t="s">
        <v>1</v>
      </c>
      <c r="D19" s="11">
        <v>790</v>
      </c>
      <c r="E19" s="5">
        <v>46072</v>
      </c>
      <c r="F19" s="5"/>
      <c r="G19" s="5">
        <v>45981</v>
      </c>
      <c r="H19" s="2" t="str">
        <f t="shared" si="0"/>
        <v>Unpaid</v>
      </c>
      <c r="I19" s="13">
        <f t="shared" si="1"/>
        <v>0</v>
      </c>
    </row>
    <row r="20" spans="1:9" ht="15.5" x14ac:dyDescent="0.35">
      <c r="A20" s="6">
        <v>19</v>
      </c>
      <c r="B20" s="5">
        <v>45678</v>
      </c>
      <c r="C20" s="8" t="s">
        <v>0</v>
      </c>
      <c r="D20" s="11">
        <v>580</v>
      </c>
      <c r="E20" s="5">
        <v>45768</v>
      </c>
      <c r="F20" s="5">
        <v>45767</v>
      </c>
      <c r="G20" s="5">
        <v>45981</v>
      </c>
      <c r="H20" s="2" t="str">
        <f t="shared" si="0"/>
        <v>Paid</v>
      </c>
      <c r="I20" s="13">
        <f t="shared" si="1"/>
        <v>0</v>
      </c>
    </row>
    <row r="21" spans="1:9" ht="15.5" x14ac:dyDescent="0.35">
      <c r="A21" s="6">
        <v>20</v>
      </c>
      <c r="B21" s="5">
        <v>45842</v>
      </c>
      <c r="C21" s="8" t="s">
        <v>17</v>
      </c>
      <c r="D21" s="11">
        <v>2112.6</v>
      </c>
      <c r="E21" s="5">
        <v>45934</v>
      </c>
      <c r="F21" s="5">
        <v>45962</v>
      </c>
      <c r="G21" s="5">
        <v>45981</v>
      </c>
      <c r="H21" s="2" t="str">
        <f t="shared" si="0"/>
        <v>Paid</v>
      </c>
      <c r="I21" s="13">
        <f t="shared" si="1"/>
        <v>0</v>
      </c>
    </row>
    <row r="22" spans="1:9" ht="15.5" x14ac:dyDescent="0.35">
      <c r="A22" s="6">
        <v>21</v>
      </c>
      <c r="B22" s="5">
        <v>45998</v>
      </c>
      <c r="C22" s="8" t="s">
        <v>2</v>
      </c>
      <c r="D22" s="11">
        <v>1980</v>
      </c>
      <c r="E22" s="5">
        <v>46088</v>
      </c>
      <c r="F22" s="5"/>
      <c r="G22" s="5">
        <v>45981</v>
      </c>
      <c r="H22" s="2" t="str">
        <f t="shared" si="0"/>
        <v>Unpaid</v>
      </c>
      <c r="I22" s="13">
        <f t="shared" si="1"/>
        <v>0</v>
      </c>
    </row>
    <row r="23" spans="1:9" ht="15.5" x14ac:dyDescent="0.35">
      <c r="A23" s="6">
        <v>22</v>
      </c>
      <c r="B23" s="5">
        <v>45923</v>
      </c>
      <c r="C23" s="8" t="s">
        <v>14</v>
      </c>
      <c r="D23" s="11">
        <v>534</v>
      </c>
      <c r="E23" s="5">
        <v>46014</v>
      </c>
      <c r="F23" s="5">
        <v>46023</v>
      </c>
      <c r="G23" s="5">
        <v>45981</v>
      </c>
      <c r="H23" s="2" t="str">
        <f t="shared" si="0"/>
        <v>Paid</v>
      </c>
      <c r="I23" s="13">
        <f t="shared" si="1"/>
        <v>0</v>
      </c>
    </row>
    <row r="24" spans="1:9" ht="15.5" x14ac:dyDescent="0.35">
      <c r="A24" s="6">
        <v>23</v>
      </c>
      <c r="B24" s="5">
        <v>46066</v>
      </c>
      <c r="C24" s="8" t="s">
        <v>3</v>
      </c>
      <c r="D24" s="11">
        <v>8600</v>
      </c>
      <c r="E24" s="5">
        <v>46155</v>
      </c>
      <c r="F24" s="5"/>
      <c r="G24" s="5">
        <v>45981</v>
      </c>
      <c r="H24" s="2" t="str">
        <f t="shared" si="0"/>
        <v>Unpaid</v>
      </c>
      <c r="I24" s="13">
        <f t="shared" si="1"/>
        <v>0</v>
      </c>
    </row>
    <row r="25" spans="1:9" ht="15.5" x14ac:dyDescent="0.35">
      <c r="A25" s="6">
        <v>24</v>
      </c>
      <c r="B25" s="5">
        <v>45748</v>
      </c>
      <c r="C25" s="8" t="s">
        <v>1</v>
      </c>
      <c r="D25" s="11">
        <v>1600</v>
      </c>
      <c r="E25" s="5">
        <v>45839</v>
      </c>
      <c r="F25" s="5">
        <v>45853</v>
      </c>
      <c r="G25" s="5">
        <v>45981</v>
      </c>
      <c r="H25" s="2" t="str">
        <f t="shared" si="0"/>
        <v>Paid</v>
      </c>
      <c r="I25" s="13">
        <f t="shared" si="1"/>
        <v>0</v>
      </c>
    </row>
    <row r="26" spans="1:9" ht="15.5" x14ac:dyDescent="0.35">
      <c r="A26" s="6">
        <v>25</v>
      </c>
      <c r="B26" s="5">
        <v>46008</v>
      </c>
      <c r="C26" s="8" t="s">
        <v>4</v>
      </c>
      <c r="D26" s="11">
        <v>1050</v>
      </c>
      <c r="E26" s="5">
        <v>46098</v>
      </c>
      <c r="F26" s="5"/>
      <c r="G26" s="5">
        <v>45981</v>
      </c>
      <c r="H26" s="2" t="str">
        <f t="shared" si="0"/>
        <v>Unpaid</v>
      </c>
      <c r="I26" s="13">
        <f t="shared" si="1"/>
        <v>0</v>
      </c>
    </row>
    <row r="27" spans="1:9" ht="15.5" x14ac:dyDescent="0.35">
      <c r="A27" s="6">
        <v>26</v>
      </c>
      <c r="B27" s="5">
        <v>45716</v>
      </c>
      <c r="C27" s="8" t="s">
        <v>0</v>
      </c>
      <c r="D27" s="11">
        <v>4100</v>
      </c>
      <c r="E27" s="5">
        <v>45805</v>
      </c>
      <c r="F27" s="5">
        <v>45813</v>
      </c>
      <c r="G27" s="5">
        <v>45981</v>
      </c>
      <c r="H27" s="2" t="str">
        <f t="shared" si="0"/>
        <v>Paid</v>
      </c>
      <c r="I27" s="13">
        <f t="shared" si="1"/>
        <v>0</v>
      </c>
    </row>
    <row r="28" spans="1:9" ht="15.5" x14ac:dyDescent="0.35">
      <c r="A28" s="6">
        <v>27</v>
      </c>
      <c r="B28" s="5">
        <v>45871</v>
      </c>
      <c r="C28" s="8" t="s">
        <v>13</v>
      </c>
      <c r="D28" s="11">
        <v>20112.62</v>
      </c>
      <c r="E28" s="5">
        <v>45963</v>
      </c>
      <c r="F28" s="5">
        <v>45971</v>
      </c>
      <c r="G28" s="5">
        <v>45981</v>
      </c>
      <c r="H28" s="2" t="str">
        <f t="shared" si="0"/>
        <v>Paid</v>
      </c>
      <c r="I28" s="13">
        <f t="shared" si="1"/>
        <v>0</v>
      </c>
    </row>
    <row r="29" spans="1:9" ht="15.5" x14ac:dyDescent="0.35">
      <c r="A29" s="6">
        <v>28</v>
      </c>
      <c r="B29" s="5">
        <v>45941</v>
      </c>
      <c r="C29" s="8" t="s">
        <v>11</v>
      </c>
      <c r="D29" s="11">
        <v>1450</v>
      </c>
      <c r="E29" s="5">
        <v>46033</v>
      </c>
      <c r="F29" s="5"/>
      <c r="G29" s="5">
        <v>45981</v>
      </c>
      <c r="H29" s="2" t="str">
        <f t="shared" si="0"/>
        <v>Unpaid</v>
      </c>
      <c r="I29" s="13">
        <f t="shared" si="1"/>
        <v>0</v>
      </c>
    </row>
    <row r="30" spans="1:9" ht="15.5" x14ac:dyDescent="0.35">
      <c r="A30" s="6">
        <v>29</v>
      </c>
      <c r="B30" s="5">
        <v>45661</v>
      </c>
      <c r="C30" s="8" t="s">
        <v>18</v>
      </c>
      <c r="D30" s="11">
        <v>23456</v>
      </c>
      <c r="E30" s="5">
        <v>45751</v>
      </c>
      <c r="F30" s="5">
        <v>45767</v>
      </c>
      <c r="G30" s="5">
        <v>45981</v>
      </c>
      <c r="H30" s="2" t="str">
        <f t="shared" si="0"/>
        <v>Paid</v>
      </c>
      <c r="I30" s="13">
        <f t="shared" si="1"/>
        <v>0</v>
      </c>
    </row>
    <row r="31" spans="1:9" ht="15.5" x14ac:dyDescent="0.35">
      <c r="A31" s="6">
        <v>30</v>
      </c>
      <c r="B31" s="5">
        <v>45732</v>
      </c>
      <c r="C31" s="8" t="s">
        <v>2</v>
      </c>
      <c r="D31" s="11">
        <v>400</v>
      </c>
      <c r="E31" s="5">
        <v>45824</v>
      </c>
      <c r="F31" s="5">
        <v>45818</v>
      </c>
      <c r="G31" s="5">
        <v>45981</v>
      </c>
      <c r="H31" s="2" t="str">
        <f t="shared" si="0"/>
        <v>Paid</v>
      </c>
      <c r="I31" s="13">
        <f t="shared" si="1"/>
        <v>0</v>
      </c>
    </row>
    <row r="32" spans="1:9" ht="15.5" x14ac:dyDescent="0.35">
      <c r="A32" s="6">
        <v>31</v>
      </c>
      <c r="B32" s="5">
        <v>45988</v>
      </c>
      <c r="C32" s="8" t="s">
        <v>0</v>
      </c>
      <c r="D32" s="11">
        <v>750</v>
      </c>
      <c r="E32" s="5">
        <v>46080</v>
      </c>
      <c r="F32" s="5"/>
      <c r="G32" s="5">
        <v>45981</v>
      </c>
      <c r="H32" s="2" t="str">
        <f t="shared" si="0"/>
        <v>Unpaid</v>
      </c>
      <c r="I32" s="13">
        <f t="shared" si="1"/>
        <v>0</v>
      </c>
    </row>
    <row r="33" spans="1:9" ht="15.5" x14ac:dyDescent="0.35">
      <c r="A33" s="6">
        <v>32</v>
      </c>
      <c r="B33" s="5">
        <v>46034</v>
      </c>
      <c r="C33" s="8" t="s">
        <v>17</v>
      </c>
      <c r="D33" s="11">
        <v>3400</v>
      </c>
      <c r="E33" s="5">
        <v>46124</v>
      </c>
      <c r="F33" s="5"/>
      <c r="G33" s="5">
        <v>45981</v>
      </c>
      <c r="H33" s="2" t="str">
        <f t="shared" si="0"/>
        <v>Unpaid</v>
      </c>
      <c r="I33" s="13">
        <f t="shared" si="1"/>
        <v>0</v>
      </c>
    </row>
    <row r="34" spans="1:9" ht="15.5" x14ac:dyDescent="0.35">
      <c r="A34" s="6">
        <v>33</v>
      </c>
      <c r="B34" s="5">
        <v>45813</v>
      </c>
      <c r="C34" s="8" t="s">
        <v>1</v>
      </c>
      <c r="D34" s="11">
        <v>1560</v>
      </c>
      <c r="E34" s="5">
        <v>45905</v>
      </c>
      <c r="F34" s="5">
        <v>45931</v>
      </c>
      <c r="G34" s="5">
        <v>45981</v>
      </c>
      <c r="H34" s="2" t="str">
        <f t="shared" si="0"/>
        <v>Paid</v>
      </c>
      <c r="I34" s="13">
        <f t="shared" si="1"/>
        <v>0</v>
      </c>
    </row>
    <row r="35" spans="1:9" ht="15.5" x14ac:dyDescent="0.35">
      <c r="A35" s="6">
        <v>34</v>
      </c>
      <c r="B35" s="5">
        <v>45646</v>
      </c>
      <c r="C35" s="8" t="s">
        <v>10</v>
      </c>
      <c r="D35" s="11">
        <v>2100</v>
      </c>
      <c r="E35" s="5">
        <v>45736</v>
      </c>
      <c r="F35" s="5">
        <v>45736</v>
      </c>
      <c r="G35" s="5">
        <v>45981</v>
      </c>
      <c r="H35" s="2" t="str">
        <f t="shared" si="0"/>
        <v>Paid</v>
      </c>
      <c r="I35" s="13">
        <f t="shared" si="1"/>
        <v>0</v>
      </c>
    </row>
    <row r="36" spans="1:9" ht="15.5" x14ac:dyDescent="0.35">
      <c r="A36" s="6">
        <v>35</v>
      </c>
      <c r="B36" s="5">
        <v>45882</v>
      </c>
      <c r="C36" s="8" t="s">
        <v>16</v>
      </c>
      <c r="D36" s="11">
        <v>9600</v>
      </c>
      <c r="E36" s="5">
        <v>45974</v>
      </c>
      <c r="F36" s="5">
        <v>45976</v>
      </c>
      <c r="G36" s="5">
        <v>45981</v>
      </c>
      <c r="H36" s="2" t="str">
        <f t="shared" si="0"/>
        <v>Paid</v>
      </c>
      <c r="I36" s="13">
        <f t="shared" si="1"/>
        <v>0</v>
      </c>
    </row>
    <row r="37" spans="1:9" ht="15.5" x14ac:dyDescent="0.35">
      <c r="A37" s="6">
        <v>36</v>
      </c>
      <c r="B37" s="5">
        <v>45786</v>
      </c>
      <c r="C37" s="8" t="s">
        <v>0</v>
      </c>
      <c r="D37" s="11">
        <v>4259.9399999999996</v>
      </c>
      <c r="E37" s="5">
        <v>45878</v>
      </c>
      <c r="F37" s="5">
        <v>45915</v>
      </c>
      <c r="G37" s="5">
        <v>45981</v>
      </c>
      <c r="H37" s="2" t="str">
        <f t="shared" si="0"/>
        <v>Paid</v>
      </c>
      <c r="I37" s="13">
        <f t="shared" si="1"/>
        <v>0</v>
      </c>
    </row>
    <row r="38" spans="1:9" ht="15.5" x14ac:dyDescent="0.35">
      <c r="A38" s="6">
        <v>37</v>
      </c>
      <c r="B38" s="5">
        <v>45862</v>
      </c>
      <c r="C38" s="8" t="s">
        <v>13</v>
      </c>
      <c r="D38" s="11">
        <v>230</v>
      </c>
      <c r="E38" s="5">
        <v>45954</v>
      </c>
      <c r="F38" s="5">
        <v>45962</v>
      </c>
      <c r="G38" s="5">
        <v>45981</v>
      </c>
      <c r="H38" s="2" t="str">
        <f t="shared" si="0"/>
        <v>Paid</v>
      </c>
      <c r="I38" s="13">
        <f t="shared" si="1"/>
        <v>0</v>
      </c>
    </row>
    <row r="39" spans="1:9" ht="15.5" x14ac:dyDescent="0.35">
      <c r="A39" s="6">
        <v>38</v>
      </c>
      <c r="B39" s="5">
        <v>46056</v>
      </c>
      <c r="C39" s="8" t="s">
        <v>1</v>
      </c>
      <c r="D39" s="11">
        <v>3200</v>
      </c>
      <c r="E39" s="5">
        <v>46145</v>
      </c>
      <c r="F39" s="5"/>
      <c r="G39" s="5">
        <v>45981</v>
      </c>
      <c r="H39" s="2" t="str">
        <f t="shared" si="0"/>
        <v>Unpaid</v>
      </c>
      <c r="I39" s="13">
        <f t="shared" si="1"/>
        <v>0</v>
      </c>
    </row>
    <row r="40" spans="1:9" ht="15.5" x14ac:dyDescent="0.35">
      <c r="A40" s="6">
        <v>39</v>
      </c>
      <c r="B40" s="5">
        <v>45641</v>
      </c>
      <c r="C40" s="8" t="s">
        <v>2</v>
      </c>
      <c r="D40" s="11">
        <v>6780</v>
      </c>
      <c r="E40" s="5">
        <v>45731</v>
      </c>
      <c r="F40" s="5">
        <v>45736</v>
      </c>
      <c r="G40" s="5">
        <v>45981</v>
      </c>
      <c r="H40" s="2" t="str">
        <f t="shared" si="0"/>
        <v>Paid</v>
      </c>
      <c r="I40" s="13">
        <f t="shared" si="1"/>
        <v>0</v>
      </c>
    </row>
    <row r="41" spans="1:9" ht="15.5" x14ac:dyDescent="0.35">
      <c r="A41" s="6">
        <v>40</v>
      </c>
      <c r="B41" s="5">
        <v>45951</v>
      </c>
      <c r="C41" s="8" t="s">
        <v>14</v>
      </c>
      <c r="D41" s="11">
        <v>477.48</v>
      </c>
      <c r="E41" s="5">
        <v>46043</v>
      </c>
      <c r="F41" s="5"/>
      <c r="G41" s="5">
        <v>45981</v>
      </c>
      <c r="H41" s="2" t="str">
        <f t="shared" si="0"/>
        <v>Unpaid</v>
      </c>
      <c r="I41" s="13">
        <f t="shared" si="1"/>
        <v>0</v>
      </c>
    </row>
    <row r="42" spans="1:9" ht="15.5" x14ac:dyDescent="0.35">
      <c r="A42" s="6">
        <v>41</v>
      </c>
      <c r="B42" s="5">
        <v>45910</v>
      </c>
      <c r="C42" s="8" t="s">
        <v>3</v>
      </c>
      <c r="D42" s="11">
        <v>2900</v>
      </c>
      <c r="E42" s="5">
        <v>46001</v>
      </c>
      <c r="F42" s="5">
        <v>46006</v>
      </c>
      <c r="G42" s="5">
        <v>45981</v>
      </c>
      <c r="H42" s="2" t="str">
        <f t="shared" si="0"/>
        <v>Paid</v>
      </c>
      <c r="I42" s="13">
        <f t="shared" si="1"/>
        <v>0</v>
      </c>
    </row>
    <row r="43" spans="1:9" ht="15.5" x14ac:dyDescent="0.35">
      <c r="A43" s="6">
        <v>42</v>
      </c>
      <c r="B43" s="5">
        <v>45805</v>
      </c>
      <c r="C43" s="8" t="s">
        <v>19</v>
      </c>
      <c r="D43" s="11">
        <v>60</v>
      </c>
      <c r="E43" s="5">
        <v>45897</v>
      </c>
      <c r="F43" s="5">
        <v>45905</v>
      </c>
      <c r="G43" s="5">
        <v>45981</v>
      </c>
      <c r="H43" s="2" t="str">
        <f t="shared" si="0"/>
        <v>Paid</v>
      </c>
      <c r="I43" s="13">
        <f t="shared" si="1"/>
        <v>0</v>
      </c>
    </row>
    <row r="44" spans="1:9" ht="15.5" x14ac:dyDescent="0.35">
      <c r="A44" s="6">
        <v>43</v>
      </c>
      <c r="B44" s="5">
        <v>45717</v>
      </c>
      <c r="C44" s="8" t="s">
        <v>17</v>
      </c>
      <c r="D44" s="11">
        <v>3284.5</v>
      </c>
      <c r="E44" s="5">
        <v>45809</v>
      </c>
      <c r="F44" s="5">
        <v>45828</v>
      </c>
      <c r="G44" s="5">
        <v>45981</v>
      </c>
      <c r="H44" s="2" t="str">
        <f t="shared" si="0"/>
        <v>Paid</v>
      </c>
      <c r="I44" s="13">
        <f t="shared" si="1"/>
        <v>0</v>
      </c>
    </row>
    <row r="45" spans="1:9" ht="15.5" x14ac:dyDescent="0.35">
      <c r="A45" s="6">
        <v>44</v>
      </c>
      <c r="B45" s="5">
        <v>46029</v>
      </c>
      <c r="C45" s="8" t="s">
        <v>1</v>
      </c>
      <c r="D45" s="11">
        <v>750</v>
      </c>
      <c r="E45" s="5">
        <v>46119</v>
      </c>
      <c r="F45" s="5"/>
      <c r="G45" s="5">
        <v>45981</v>
      </c>
      <c r="H45" s="2" t="str">
        <f t="shared" si="0"/>
        <v>Unpaid</v>
      </c>
      <c r="I45" s="13">
        <f t="shared" si="1"/>
        <v>0</v>
      </c>
    </row>
    <row r="46" spans="1:9" ht="15.5" x14ac:dyDescent="0.35">
      <c r="A46" s="6">
        <v>45</v>
      </c>
      <c r="B46" s="5">
        <v>46079</v>
      </c>
      <c r="C46" s="8" t="s">
        <v>2</v>
      </c>
      <c r="D46" s="11">
        <v>7356</v>
      </c>
      <c r="E46" s="5">
        <v>46168</v>
      </c>
      <c r="F46" s="5"/>
      <c r="G46" s="5">
        <v>45981</v>
      </c>
      <c r="H46" s="2" t="str">
        <f t="shared" si="0"/>
        <v>Unpaid</v>
      </c>
      <c r="I46" s="13">
        <f t="shared" si="1"/>
        <v>0</v>
      </c>
    </row>
    <row r="47" spans="1:9" ht="15.5" x14ac:dyDescent="0.35">
      <c r="A47" s="6">
        <v>46</v>
      </c>
      <c r="B47" s="5">
        <v>45888</v>
      </c>
      <c r="C47" s="8" t="s">
        <v>11</v>
      </c>
      <c r="D47" s="11">
        <v>3562</v>
      </c>
      <c r="E47" s="5">
        <v>45980</v>
      </c>
      <c r="F47" s="5"/>
      <c r="G47" s="5">
        <v>45981</v>
      </c>
      <c r="H47" s="2" t="str">
        <f t="shared" si="0"/>
        <v>Overdue</v>
      </c>
      <c r="I47" s="13">
        <f t="shared" si="1"/>
        <v>1</v>
      </c>
    </row>
    <row r="48" spans="1:9" ht="15.5" x14ac:dyDescent="0.35">
      <c r="A48" s="6">
        <v>47</v>
      </c>
      <c r="B48" s="5">
        <v>46005</v>
      </c>
      <c r="C48" s="8" t="s">
        <v>0</v>
      </c>
      <c r="D48" s="11">
        <v>12000</v>
      </c>
      <c r="E48" s="5">
        <v>46095</v>
      </c>
      <c r="F48" s="5"/>
      <c r="G48" s="5">
        <v>45981</v>
      </c>
      <c r="H48" s="2" t="str">
        <f t="shared" si="0"/>
        <v>Unpaid</v>
      </c>
      <c r="I48" s="13">
        <f t="shared" si="1"/>
        <v>0</v>
      </c>
    </row>
    <row r="49" spans="1:9" ht="15.5" x14ac:dyDescent="0.35">
      <c r="A49" s="6">
        <v>48</v>
      </c>
      <c r="B49" s="5">
        <v>45858</v>
      </c>
      <c r="C49" s="8" t="s">
        <v>15</v>
      </c>
      <c r="D49" s="11">
        <v>10200</v>
      </c>
      <c r="E49" s="5">
        <v>45950</v>
      </c>
      <c r="F49" s="5">
        <v>45962</v>
      </c>
      <c r="G49" s="5">
        <v>45981</v>
      </c>
      <c r="H49" s="2" t="str">
        <f t="shared" si="0"/>
        <v>Paid</v>
      </c>
      <c r="I49" s="13">
        <f t="shared" si="1"/>
        <v>0</v>
      </c>
    </row>
    <row r="50" spans="1:9" ht="15.5" x14ac:dyDescent="0.35">
      <c r="A50" s="6">
        <v>49</v>
      </c>
      <c r="B50" s="5">
        <v>46063</v>
      </c>
      <c r="C50" s="8" t="s">
        <v>1</v>
      </c>
      <c r="D50" s="11">
        <v>140</v>
      </c>
      <c r="E50" s="5">
        <v>46152</v>
      </c>
      <c r="F50" s="5"/>
      <c r="G50" s="5">
        <v>45981</v>
      </c>
      <c r="H50" s="2" t="str">
        <f t="shared" si="0"/>
        <v>Unpaid</v>
      </c>
      <c r="I50" s="13">
        <f t="shared" si="1"/>
        <v>0</v>
      </c>
    </row>
    <row r="51" spans="1:9" ht="15.5" x14ac:dyDescent="0.35">
      <c r="A51" s="6">
        <v>50</v>
      </c>
      <c r="B51" s="5">
        <v>45824</v>
      </c>
      <c r="C51" s="8" t="s">
        <v>9</v>
      </c>
      <c r="D51" s="11">
        <v>10900</v>
      </c>
      <c r="E51" s="5">
        <v>45916</v>
      </c>
      <c r="F51" s="5">
        <v>45920</v>
      </c>
      <c r="G51" s="5">
        <v>45981</v>
      </c>
      <c r="H51" s="2" t="str">
        <f t="shared" si="0"/>
        <v>Paid</v>
      </c>
      <c r="I51" s="13">
        <f t="shared" si="1"/>
        <v>0</v>
      </c>
    </row>
    <row r="52" spans="1:9" ht="15.5" x14ac:dyDescent="0.35">
      <c r="A52" s="6">
        <v>51</v>
      </c>
      <c r="B52" s="5">
        <v>45775</v>
      </c>
      <c r="C52" s="8" t="s">
        <v>13</v>
      </c>
      <c r="D52" s="11">
        <v>2500</v>
      </c>
      <c r="E52" s="5">
        <v>45866</v>
      </c>
      <c r="F52" s="5">
        <v>46129</v>
      </c>
      <c r="G52" s="5">
        <v>45981</v>
      </c>
      <c r="H52" s="2" t="str">
        <f t="shared" si="0"/>
        <v>Paid</v>
      </c>
      <c r="I52" s="13">
        <f t="shared" si="1"/>
        <v>0</v>
      </c>
    </row>
    <row r="53" spans="1:9" ht="15.5" x14ac:dyDescent="0.35">
      <c r="A53" s="6">
        <v>52</v>
      </c>
      <c r="B53" s="5">
        <v>46063</v>
      </c>
      <c r="C53" s="8" t="s">
        <v>14</v>
      </c>
      <c r="D53" s="11">
        <v>8800</v>
      </c>
      <c r="E53" s="5">
        <v>46152</v>
      </c>
      <c r="F53" s="5">
        <v>46048</v>
      </c>
      <c r="G53" s="5">
        <v>45981</v>
      </c>
      <c r="H53" s="2" t="str">
        <f t="shared" si="0"/>
        <v>Paid</v>
      </c>
      <c r="I53" s="13">
        <f t="shared" si="1"/>
        <v>0</v>
      </c>
    </row>
    <row r="54" spans="1:9" ht="15.5" x14ac:dyDescent="0.35">
      <c r="A54" s="6">
        <v>53</v>
      </c>
      <c r="B54" s="5">
        <v>45547</v>
      </c>
      <c r="C54" s="8" t="s">
        <v>18</v>
      </c>
      <c r="D54" s="11">
        <v>1950</v>
      </c>
      <c r="E54" s="5">
        <v>45728</v>
      </c>
      <c r="F54" s="5">
        <v>46106</v>
      </c>
      <c r="G54" s="5">
        <v>45981</v>
      </c>
      <c r="H54" s="2" t="str">
        <f t="shared" si="0"/>
        <v>Paid</v>
      </c>
      <c r="I54" s="13">
        <f t="shared" si="1"/>
        <v>0</v>
      </c>
    </row>
    <row r="55" spans="1:9" ht="15.5" x14ac:dyDescent="0.35">
      <c r="A55" s="6">
        <v>54</v>
      </c>
      <c r="B55" s="5">
        <v>45812</v>
      </c>
      <c r="C55" s="8" t="s">
        <v>10</v>
      </c>
      <c r="D55" s="11">
        <v>4789.84</v>
      </c>
      <c r="E55" s="5">
        <v>45904</v>
      </c>
      <c r="F55" s="5">
        <v>45966</v>
      </c>
      <c r="G55" s="5">
        <v>45981</v>
      </c>
      <c r="H55" s="2" t="str">
        <f t="shared" si="0"/>
        <v>Paid</v>
      </c>
      <c r="I55" s="13">
        <f t="shared" si="1"/>
        <v>0</v>
      </c>
    </row>
    <row r="56" spans="1:9" ht="15.5" x14ac:dyDescent="0.35">
      <c r="A56" s="6">
        <v>55</v>
      </c>
      <c r="B56" s="5">
        <v>45917</v>
      </c>
      <c r="C56" s="8" t="s">
        <v>2</v>
      </c>
      <c r="D56" s="11">
        <v>350</v>
      </c>
      <c r="E56" s="5">
        <v>46008</v>
      </c>
      <c r="F56" s="5">
        <v>46144</v>
      </c>
      <c r="G56" s="5">
        <v>45981</v>
      </c>
      <c r="H56" s="2" t="str">
        <f t="shared" si="0"/>
        <v>Paid</v>
      </c>
      <c r="I56" s="13">
        <f t="shared" si="1"/>
        <v>0</v>
      </c>
    </row>
    <row r="57" spans="1:9" ht="15.5" x14ac:dyDescent="0.35">
      <c r="A57" s="6">
        <v>56</v>
      </c>
      <c r="B57" s="5">
        <v>46134</v>
      </c>
      <c r="C57" s="8" t="s">
        <v>12</v>
      </c>
      <c r="D57" s="11">
        <v>1700</v>
      </c>
      <c r="E57" s="5">
        <v>46225</v>
      </c>
      <c r="F57" s="5">
        <v>45818</v>
      </c>
      <c r="G57" s="5">
        <v>45981</v>
      </c>
      <c r="H57" s="2" t="str">
        <f t="shared" si="0"/>
        <v>Paid</v>
      </c>
      <c r="I57" s="13">
        <f t="shared" si="1"/>
        <v>0</v>
      </c>
    </row>
    <row r="58" spans="1:9" ht="15.5" x14ac:dyDescent="0.35">
      <c r="A58" s="6">
        <v>57</v>
      </c>
      <c r="B58" s="5">
        <v>46027</v>
      </c>
      <c r="C58" s="8" t="s">
        <v>1</v>
      </c>
      <c r="D58" s="11">
        <v>4600</v>
      </c>
      <c r="E58" s="5">
        <v>46117</v>
      </c>
      <c r="F58" s="5">
        <v>45897</v>
      </c>
      <c r="G58" s="5">
        <v>45981</v>
      </c>
      <c r="H58" s="2" t="str">
        <f t="shared" si="0"/>
        <v>Paid</v>
      </c>
      <c r="I58" s="13">
        <f t="shared" si="1"/>
        <v>0</v>
      </c>
    </row>
    <row r="59" spans="1:9" ht="15.5" x14ac:dyDescent="0.35">
      <c r="A59" s="6">
        <v>58</v>
      </c>
      <c r="B59" s="5">
        <v>45943</v>
      </c>
      <c r="C59" s="8" t="s">
        <v>17</v>
      </c>
      <c r="D59" s="11">
        <v>550</v>
      </c>
      <c r="E59" s="5">
        <v>46035</v>
      </c>
      <c r="F59" s="5">
        <v>46011</v>
      </c>
      <c r="G59" s="5">
        <v>45981</v>
      </c>
      <c r="H59" s="2" t="str">
        <f t="shared" si="0"/>
        <v>Paid</v>
      </c>
      <c r="I59" s="13">
        <f t="shared" si="1"/>
        <v>0</v>
      </c>
    </row>
    <row r="60" spans="1:9" ht="15.5" x14ac:dyDescent="0.35">
      <c r="A60" s="6">
        <v>59</v>
      </c>
      <c r="B60" s="4" t="s">
        <v>21</v>
      </c>
      <c r="C60" s="8" t="s">
        <v>0</v>
      </c>
      <c r="D60" s="11">
        <v>10500</v>
      </c>
      <c r="E60" s="5">
        <v>45806</v>
      </c>
      <c r="F60" s="5">
        <v>46096</v>
      </c>
      <c r="G60" s="5">
        <v>45981</v>
      </c>
      <c r="H60" s="2" t="str">
        <f t="shared" si="0"/>
        <v>Paid</v>
      </c>
      <c r="I60" s="13">
        <f t="shared" si="1"/>
        <v>0</v>
      </c>
    </row>
    <row r="61" spans="1:9" ht="15.5" x14ac:dyDescent="0.35">
      <c r="A61" s="6">
        <v>60</v>
      </c>
      <c r="B61" s="5">
        <v>45877</v>
      </c>
      <c r="C61" s="8" t="s">
        <v>9</v>
      </c>
      <c r="D61" s="11">
        <v>2500</v>
      </c>
      <c r="E61" s="5">
        <v>45969</v>
      </c>
      <c r="F61" s="5"/>
      <c r="G61" s="5">
        <v>45981</v>
      </c>
      <c r="H61" s="2" t="str">
        <f t="shared" si="0"/>
        <v>Overdue</v>
      </c>
      <c r="I61" s="13">
        <f t="shared" si="1"/>
        <v>12</v>
      </c>
    </row>
    <row r="62" spans="1:9" ht="15.5" x14ac:dyDescent="0.35">
      <c r="A62" s="6">
        <v>61</v>
      </c>
      <c r="B62" s="5">
        <v>46033</v>
      </c>
      <c r="C62" s="8" t="s">
        <v>19</v>
      </c>
      <c r="D62" s="11">
        <v>1900</v>
      </c>
      <c r="E62" s="5">
        <v>46123</v>
      </c>
      <c r="F62" s="5">
        <v>46023</v>
      </c>
      <c r="G62" s="5">
        <v>45981</v>
      </c>
      <c r="H62" s="2" t="str">
        <f t="shared" si="0"/>
        <v>Paid</v>
      </c>
      <c r="I62" s="13">
        <f t="shared" si="1"/>
        <v>0</v>
      </c>
    </row>
    <row r="63" spans="1:9" ht="15.5" x14ac:dyDescent="0.35">
      <c r="A63" s="6">
        <v>62</v>
      </c>
      <c r="B63" s="5">
        <v>46011</v>
      </c>
      <c r="C63" s="8" t="s">
        <v>3</v>
      </c>
      <c r="D63" s="11">
        <v>8400</v>
      </c>
      <c r="E63" s="5">
        <v>46101</v>
      </c>
      <c r="F63" s="5">
        <v>46223</v>
      </c>
      <c r="G63" s="5">
        <v>45981</v>
      </c>
      <c r="H63" s="2" t="str">
        <f t="shared" si="0"/>
        <v>Paid</v>
      </c>
      <c r="I63" s="13">
        <f t="shared" si="1"/>
        <v>0</v>
      </c>
    </row>
    <row r="64" spans="1:9" ht="15.5" x14ac:dyDescent="0.35">
      <c r="A64" s="6">
        <v>63</v>
      </c>
      <c r="B64" s="5">
        <v>45968</v>
      </c>
      <c r="C64" s="8" t="s">
        <v>11</v>
      </c>
      <c r="D64" s="11">
        <v>3200</v>
      </c>
      <c r="E64" s="5">
        <v>46060</v>
      </c>
      <c r="F64" s="5">
        <v>46143</v>
      </c>
      <c r="G64" s="5">
        <v>45981</v>
      </c>
      <c r="H64" s="2" t="str">
        <f t="shared" si="0"/>
        <v>Paid</v>
      </c>
      <c r="I64" s="13">
        <f t="shared" si="1"/>
        <v>0</v>
      </c>
    </row>
    <row r="65" spans="1:9" ht="15.5" x14ac:dyDescent="0.35">
      <c r="A65" s="6">
        <v>64</v>
      </c>
      <c r="B65" s="5">
        <v>45854</v>
      </c>
      <c r="C65" s="8" t="s">
        <v>15</v>
      </c>
      <c r="D65" s="11">
        <v>4700</v>
      </c>
      <c r="E65" s="5">
        <v>45946</v>
      </c>
      <c r="F65" s="5">
        <v>46082</v>
      </c>
      <c r="G65" s="5">
        <v>45981</v>
      </c>
      <c r="H65" s="2" t="str">
        <f t="shared" si="0"/>
        <v>Paid</v>
      </c>
      <c r="I65" s="13">
        <f t="shared" si="1"/>
        <v>0</v>
      </c>
    </row>
    <row r="66" spans="1:9" ht="15.5" x14ac:dyDescent="0.35">
      <c r="A66" s="6">
        <v>65</v>
      </c>
      <c r="B66" s="5">
        <v>46055</v>
      </c>
      <c r="C66" s="8" t="s">
        <v>1</v>
      </c>
      <c r="D66" s="11">
        <v>1150</v>
      </c>
      <c r="E66" s="5">
        <v>46144</v>
      </c>
      <c r="F66" s="5">
        <v>45910</v>
      </c>
      <c r="G66" s="5">
        <v>45981</v>
      </c>
      <c r="H66" s="2" t="str">
        <f t="shared" si="0"/>
        <v>Paid</v>
      </c>
      <c r="I66" s="13">
        <f t="shared" si="1"/>
        <v>0</v>
      </c>
    </row>
    <row r="67" spans="1:9" ht="15.5" x14ac:dyDescent="0.35">
      <c r="A67" s="6">
        <v>66</v>
      </c>
      <c r="B67" s="5">
        <v>45730</v>
      </c>
      <c r="C67" s="8" t="s">
        <v>4</v>
      </c>
      <c r="D67" s="11">
        <v>5300</v>
      </c>
      <c r="E67" s="5">
        <v>45822</v>
      </c>
      <c r="F67" s="5">
        <v>45976</v>
      </c>
      <c r="G67" s="5">
        <v>45981</v>
      </c>
      <c r="H67" s="2" t="str">
        <f t="shared" ref="H67:H130" si="2">IF(F67&lt;&gt;"","Paid",IF(E67&lt;$G$2,"Overdue","Unpaid"))</f>
        <v>Paid</v>
      </c>
      <c r="I67" s="13">
        <f t="shared" ref="I67:I130" si="3">IF(H67="Overdue", G67-E67, 0)</f>
        <v>0</v>
      </c>
    </row>
    <row r="68" spans="1:9" ht="15.5" x14ac:dyDescent="0.35">
      <c r="A68" s="6">
        <v>67</v>
      </c>
      <c r="B68" s="5">
        <v>45798</v>
      </c>
      <c r="C68" s="8" t="s">
        <v>16</v>
      </c>
      <c r="D68" s="11">
        <v>15000</v>
      </c>
      <c r="E68" s="5">
        <v>45890</v>
      </c>
      <c r="F68" s="5">
        <v>46091</v>
      </c>
      <c r="G68" s="5">
        <v>45981</v>
      </c>
      <c r="H68" s="2" t="str">
        <f t="shared" si="2"/>
        <v>Paid</v>
      </c>
      <c r="I68" s="13">
        <f t="shared" si="3"/>
        <v>0</v>
      </c>
    </row>
    <row r="69" spans="1:9" ht="15.5" x14ac:dyDescent="0.35">
      <c r="A69" s="6">
        <v>68</v>
      </c>
      <c r="B69" s="5">
        <v>45910</v>
      </c>
      <c r="C69" s="8" t="s">
        <v>2</v>
      </c>
      <c r="D69" s="11">
        <v>650</v>
      </c>
      <c r="E69" s="5">
        <v>46001</v>
      </c>
      <c r="F69" s="5">
        <v>46037</v>
      </c>
      <c r="G69" s="5">
        <v>45981</v>
      </c>
      <c r="H69" s="2" t="str">
        <f t="shared" si="2"/>
        <v>Paid</v>
      </c>
      <c r="I69" s="13">
        <f t="shared" si="3"/>
        <v>0</v>
      </c>
    </row>
    <row r="70" spans="1:9" ht="15.5" x14ac:dyDescent="0.35">
      <c r="A70" s="6">
        <v>69</v>
      </c>
      <c r="B70" s="5">
        <v>45956</v>
      </c>
      <c r="C70" s="8" t="s">
        <v>13</v>
      </c>
      <c r="D70" s="11">
        <v>2800</v>
      </c>
      <c r="E70" s="5">
        <v>46048</v>
      </c>
      <c r="F70" s="5">
        <v>45717</v>
      </c>
      <c r="G70" s="5">
        <v>45981</v>
      </c>
      <c r="H70" s="2" t="str">
        <f t="shared" si="2"/>
        <v>Paid</v>
      </c>
      <c r="I70" s="13">
        <f t="shared" si="3"/>
        <v>0</v>
      </c>
    </row>
    <row r="71" spans="1:9" ht="15.5" x14ac:dyDescent="0.35">
      <c r="A71" s="6">
        <v>70</v>
      </c>
      <c r="B71" s="5">
        <v>45994</v>
      </c>
      <c r="C71" s="8" t="s">
        <v>14</v>
      </c>
      <c r="D71" s="11">
        <v>1850</v>
      </c>
      <c r="E71" s="5">
        <v>46084</v>
      </c>
      <c r="F71" s="5">
        <v>45971</v>
      </c>
      <c r="G71" s="5">
        <v>45981</v>
      </c>
      <c r="H71" s="2" t="str">
        <f t="shared" si="2"/>
        <v>Paid</v>
      </c>
      <c r="I71" s="13">
        <f t="shared" si="3"/>
        <v>0</v>
      </c>
    </row>
    <row r="72" spans="1:9" ht="15.5" x14ac:dyDescent="0.35">
      <c r="A72" s="6">
        <v>71</v>
      </c>
      <c r="B72" s="5">
        <v>45754</v>
      </c>
      <c r="C72" s="8" t="s">
        <v>0</v>
      </c>
      <c r="D72" s="11">
        <v>7100</v>
      </c>
      <c r="E72" s="5">
        <v>45907</v>
      </c>
      <c r="F72" s="5">
        <v>46040</v>
      </c>
      <c r="G72" s="5">
        <v>45981</v>
      </c>
      <c r="H72" s="2" t="str">
        <f t="shared" si="2"/>
        <v>Paid</v>
      </c>
      <c r="I72" s="13">
        <f t="shared" si="3"/>
        <v>0</v>
      </c>
    </row>
    <row r="73" spans="1:9" ht="15.5" x14ac:dyDescent="0.35">
      <c r="A73" s="6">
        <v>72</v>
      </c>
      <c r="B73" s="5">
        <v>46131</v>
      </c>
      <c r="C73" s="8" t="s">
        <v>9</v>
      </c>
      <c r="D73" s="11">
        <v>2600</v>
      </c>
      <c r="E73" s="5">
        <v>46222</v>
      </c>
      <c r="F73" s="5">
        <v>46096</v>
      </c>
      <c r="G73" s="5">
        <v>45981</v>
      </c>
      <c r="H73" s="2" t="str">
        <f t="shared" si="2"/>
        <v>Paid</v>
      </c>
      <c r="I73" s="13">
        <f t="shared" si="3"/>
        <v>0</v>
      </c>
    </row>
    <row r="74" spans="1:9" ht="15.5" x14ac:dyDescent="0.35">
      <c r="A74" s="6">
        <v>73</v>
      </c>
      <c r="B74" s="5">
        <v>45658</v>
      </c>
      <c r="C74" s="8" t="s">
        <v>18</v>
      </c>
      <c r="D74" s="11">
        <v>4400</v>
      </c>
      <c r="E74" s="5">
        <v>45748</v>
      </c>
      <c r="F74" s="5">
        <v>46063</v>
      </c>
      <c r="G74" s="5">
        <v>45981</v>
      </c>
      <c r="H74" s="2" t="str">
        <f t="shared" si="2"/>
        <v>Paid</v>
      </c>
      <c r="I74" s="13">
        <f t="shared" si="3"/>
        <v>0</v>
      </c>
    </row>
    <row r="75" spans="1:9" ht="15.5" x14ac:dyDescent="0.35">
      <c r="A75" s="6">
        <v>74</v>
      </c>
      <c r="B75" s="5">
        <v>45972</v>
      </c>
      <c r="C75" s="8" t="s">
        <v>3</v>
      </c>
      <c r="D75" s="11">
        <v>9500</v>
      </c>
      <c r="E75" s="5">
        <v>46064</v>
      </c>
      <c r="F75" s="5">
        <v>45717</v>
      </c>
      <c r="G75" s="5">
        <v>45981</v>
      </c>
      <c r="H75" s="2" t="str">
        <f t="shared" si="2"/>
        <v>Paid</v>
      </c>
      <c r="I75" s="13">
        <f t="shared" si="3"/>
        <v>0</v>
      </c>
    </row>
    <row r="76" spans="1:9" ht="15.5" x14ac:dyDescent="0.35">
      <c r="A76" s="6">
        <v>75</v>
      </c>
      <c r="B76" s="5">
        <v>45836</v>
      </c>
      <c r="C76" s="8" t="s">
        <v>1</v>
      </c>
      <c r="D76" s="11">
        <v>3300</v>
      </c>
      <c r="E76" s="5">
        <v>45928</v>
      </c>
      <c r="F76" s="5">
        <v>45981</v>
      </c>
      <c r="G76" s="5">
        <v>45981</v>
      </c>
      <c r="H76" s="2" t="str">
        <f t="shared" si="2"/>
        <v>Paid</v>
      </c>
      <c r="I76" s="13">
        <f t="shared" si="3"/>
        <v>0</v>
      </c>
    </row>
    <row r="77" spans="1:9" ht="15.5" x14ac:dyDescent="0.35">
      <c r="A77" s="6">
        <v>76</v>
      </c>
      <c r="B77" s="5">
        <v>45878</v>
      </c>
      <c r="C77" s="8" t="s">
        <v>4</v>
      </c>
      <c r="D77" s="11">
        <v>1550</v>
      </c>
      <c r="E77" s="5">
        <v>45970</v>
      </c>
      <c r="F77" s="5">
        <v>45894</v>
      </c>
      <c r="G77" s="5">
        <v>45981</v>
      </c>
      <c r="H77" s="2" t="str">
        <f t="shared" si="2"/>
        <v>Paid</v>
      </c>
      <c r="I77" s="13">
        <f t="shared" si="3"/>
        <v>0</v>
      </c>
    </row>
    <row r="78" spans="1:9" ht="15.5" x14ac:dyDescent="0.35">
      <c r="A78" s="6">
        <v>77</v>
      </c>
      <c r="B78" s="5">
        <v>46057</v>
      </c>
      <c r="C78" s="8" t="s">
        <v>11</v>
      </c>
      <c r="D78" s="11">
        <v>5900</v>
      </c>
      <c r="E78" s="5">
        <v>46146</v>
      </c>
      <c r="F78" s="5">
        <v>46157</v>
      </c>
      <c r="G78" s="5">
        <v>45981</v>
      </c>
      <c r="H78" s="2" t="str">
        <f t="shared" si="2"/>
        <v>Paid</v>
      </c>
      <c r="I78" s="13">
        <f t="shared" si="3"/>
        <v>0</v>
      </c>
    </row>
    <row r="79" spans="1:9" ht="15.5" x14ac:dyDescent="0.35">
      <c r="A79" s="6">
        <v>78</v>
      </c>
      <c r="B79" s="5">
        <v>45948</v>
      </c>
      <c r="C79" s="8" t="s">
        <v>2</v>
      </c>
      <c r="D79" s="11">
        <v>2750</v>
      </c>
      <c r="E79" s="5">
        <v>46040</v>
      </c>
      <c r="F79" s="5"/>
      <c r="G79" s="5">
        <v>45981</v>
      </c>
      <c r="H79" s="2" t="str">
        <f t="shared" si="2"/>
        <v>Unpaid</v>
      </c>
      <c r="I79" s="13">
        <f t="shared" si="3"/>
        <v>0</v>
      </c>
    </row>
    <row r="80" spans="1:9" ht="15.5" x14ac:dyDescent="0.35">
      <c r="A80" s="6">
        <v>79</v>
      </c>
      <c r="B80" s="5">
        <v>45627</v>
      </c>
      <c r="C80" s="8" t="s">
        <v>10</v>
      </c>
      <c r="D80" s="11">
        <v>1000</v>
      </c>
      <c r="E80" s="5">
        <v>45717</v>
      </c>
      <c r="F80" s="5">
        <v>46167</v>
      </c>
      <c r="G80" s="5">
        <v>45981</v>
      </c>
      <c r="H80" s="2" t="str">
        <f t="shared" si="2"/>
        <v>Paid</v>
      </c>
      <c r="I80" s="13">
        <f t="shared" si="3"/>
        <v>0</v>
      </c>
    </row>
    <row r="81" spans="1:9" ht="15.5" x14ac:dyDescent="0.35">
      <c r="A81" s="6">
        <v>80</v>
      </c>
      <c r="B81" s="5">
        <v>45861</v>
      </c>
      <c r="C81" s="8" t="s">
        <v>17</v>
      </c>
      <c r="D81" s="11">
        <v>6800</v>
      </c>
      <c r="E81" s="5">
        <v>45953</v>
      </c>
      <c r="F81" s="5">
        <v>46101</v>
      </c>
      <c r="G81" s="5">
        <v>45981</v>
      </c>
      <c r="H81" s="2" t="str">
        <f t="shared" si="2"/>
        <v>Paid</v>
      </c>
      <c r="I81" s="13">
        <f t="shared" si="3"/>
        <v>0</v>
      </c>
    </row>
    <row r="82" spans="1:9" ht="15.5" x14ac:dyDescent="0.35">
      <c r="A82" s="6">
        <v>81</v>
      </c>
      <c r="B82" s="5">
        <v>46127</v>
      </c>
      <c r="C82" s="8" t="s">
        <v>0</v>
      </c>
      <c r="D82" s="11">
        <v>1890.5</v>
      </c>
      <c r="E82" s="5">
        <v>46218</v>
      </c>
      <c r="F82" s="5">
        <v>45950</v>
      </c>
      <c r="G82" s="5">
        <v>45981</v>
      </c>
      <c r="H82" s="2" t="str">
        <f t="shared" si="2"/>
        <v>Paid</v>
      </c>
      <c r="I82" s="13">
        <f t="shared" si="3"/>
        <v>0</v>
      </c>
    </row>
    <row r="83" spans="1:9" ht="15.5" x14ac:dyDescent="0.35">
      <c r="A83" s="6">
        <v>82</v>
      </c>
      <c r="B83" s="5">
        <v>46087</v>
      </c>
      <c r="C83" s="8" t="s">
        <v>12</v>
      </c>
      <c r="D83" s="11">
        <v>4100</v>
      </c>
      <c r="E83" s="5">
        <v>46087</v>
      </c>
      <c r="F83" s="5">
        <v>46091</v>
      </c>
      <c r="G83" s="5">
        <v>45981</v>
      </c>
      <c r="H83" s="2" t="str">
        <f t="shared" si="2"/>
        <v>Paid</v>
      </c>
      <c r="I83" s="13">
        <f t="shared" si="3"/>
        <v>0</v>
      </c>
    </row>
    <row r="84" spans="1:9" ht="15.5" x14ac:dyDescent="0.35">
      <c r="A84" s="6">
        <v>83</v>
      </c>
      <c r="B84" s="5">
        <v>45828</v>
      </c>
      <c r="C84" s="8" t="s">
        <v>1</v>
      </c>
      <c r="D84" s="11">
        <v>750</v>
      </c>
      <c r="E84" s="5">
        <v>45920</v>
      </c>
      <c r="F84" s="5">
        <v>45809</v>
      </c>
      <c r="G84" s="5">
        <v>45981</v>
      </c>
      <c r="H84" s="2" t="str">
        <f t="shared" si="2"/>
        <v>Paid</v>
      </c>
      <c r="I84" s="13">
        <f t="shared" si="3"/>
        <v>0</v>
      </c>
    </row>
    <row r="85" spans="1:9" ht="15.5" x14ac:dyDescent="0.35">
      <c r="A85" s="6">
        <v>84</v>
      </c>
      <c r="B85" s="5">
        <v>46039</v>
      </c>
      <c r="C85" s="8" t="s">
        <v>14</v>
      </c>
      <c r="D85" s="11">
        <v>2980</v>
      </c>
      <c r="E85" s="5">
        <v>46129</v>
      </c>
      <c r="F85" s="5">
        <v>45839</v>
      </c>
      <c r="G85" s="5">
        <v>45981</v>
      </c>
      <c r="H85" s="2" t="str">
        <f t="shared" si="2"/>
        <v>Paid</v>
      </c>
      <c r="I85" s="13">
        <f t="shared" si="3"/>
        <v>0</v>
      </c>
    </row>
    <row r="86" spans="1:9" ht="15.5" x14ac:dyDescent="0.35">
      <c r="A86" s="6">
        <v>85</v>
      </c>
      <c r="B86" s="5">
        <v>45898</v>
      </c>
      <c r="C86" s="8" t="s">
        <v>19</v>
      </c>
      <c r="D86" s="11">
        <v>1250</v>
      </c>
      <c r="E86" s="5">
        <v>45990</v>
      </c>
      <c r="F86" s="5">
        <v>45901</v>
      </c>
      <c r="G86" s="5">
        <v>45981</v>
      </c>
      <c r="H86" s="2" t="str">
        <f t="shared" si="2"/>
        <v>Paid</v>
      </c>
      <c r="I86" s="13">
        <f t="shared" si="3"/>
        <v>0</v>
      </c>
    </row>
    <row r="87" spans="1:9" ht="15.5" x14ac:dyDescent="0.35">
      <c r="A87" s="6">
        <v>86</v>
      </c>
      <c r="B87" s="5">
        <v>45914</v>
      </c>
      <c r="C87" s="8" t="s">
        <v>3</v>
      </c>
      <c r="D87" s="11">
        <v>9870.2999999999993</v>
      </c>
      <c r="E87" s="5">
        <v>46005</v>
      </c>
      <c r="F87" s="5">
        <v>46122</v>
      </c>
      <c r="G87" s="5">
        <v>45981</v>
      </c>
      <c r="H87" s="2" t="str">
        <f t="shared" si="2"/>
        <v>Paid</v>
      </c>
      <c r="I87" s="13">
        <f t="shared" si="3"/>
        <v>0</v>
      </c>
    </row>
    <row r="88" spans="1:9" ht="15.5" x14ac:dyDescent="0.35">
      <c r="A88" s="6">
        <v>87</v>
      </c>
      <c r="B88" s="5">
        <v>45755</v>
      </c>
      <c r="C88" s="8" t="s">
        <v>9</v>
      </c>
      <c r="D88" s="11">
        <v>645</v>
      </c>
      <c r="E88" s="5">
        <v>45846</v>
      </c>
      <c r="F88" s="5">
        <v>46078</v>
      </c>
      <c r="G88" s="5">
        <v>45981</v>
      </c>
      <c r="H88" s="2" t="str">
        <f t="shared" si="2"/>
        <v>Paid</v>
      </c>
      <c r="I88" s="13">
        <f t="shared" si="3"/>
        <v>0</v>
      </c>
    </row>
    <row r="89" spans="1:9" ht="15.5" x14ac:dyDescent="0.35">
      <c r="A89" s="6">
        <v>88</v>
      </c>
      <c r="B89" s="5">
        <v>45964</v>
      </c>
      <c r="C89" s="8" t="s">
        <v>4</v>
      </c>
      <c r="D89" s="11">
        <v>3200</v>
      </c>
      <c r="E89" s="5">
        <v>46056</v>
      </c>
      <c r="F89" s="5">
        <v>45818</v>
      </c>
      <c r="G89" s="5">
        <v>45981</v>
      </c>
      <c r="H89" s="2" t="str">
        <f t="shared" si="2"/>
        <v>Paid</v>
      </c>
      <c r="I89" s="13">
        <f t="shared" si="3"/>
        <v>0</v>
      </c>
    </row>
    <row r="90" spans="1:9" ht="15.5" x14ac:dyDescent="0.35">
      <c r="A90" s="6">
        <v>89</v>
      </c>
      <c r="B90" s="5">
        <v>45893</v>
      </c>
      <c r="C90" s="8" t="s">
        <v>0</v>
      </c>
      <c r="D90" s="11">
        <v>150</v>
      </c>
      <c r="E90" s="5">
        <v>45985</v>
      </c>
      <c r="F90" s="5">
        <v>46023</v>
      </c>
      <c r="G90" s="5">
        <v>45981</v>
      </c>
      <c r="H90" s="2" t="str">
        <f t="shared" si="2"/>
        <v>Paid</v>
      </c>
      <c r="I90" s="13">
        <f t="shared" si="3"/>
        <v>0</v>
      </c>
    </row>
    <row r="91" spans="1:9" ht="15.5" x14ac:dyDescent="0.35">
      <c r="A91" s="6">
        <v>90</v>
      </c>
      <c r="B91" s="5">
        <v>45698</v>
      </c>
      <c r="C91" s="8" t="s">
        <v>2</v>
      </c>
      <c r="D91" s="11">
        <v>11230</v>
      </c>
      <c r="E91" s="5">
        <v>45787</v>
      </c>
      <c r="F91" s="5">
        <v>46101</v>
      </c>
      <c r="G91" s="5">
        <v>45981</v>
      </c>
      <c r="H91" s="2" t="str">
        <f t="shared" si="2"/>
        <v>Paid</v>
      </c>
      <c r="I91" s="13">
        <f t="shared" si="3"/>
        <v>0</v>
      </c>
    </row>
    <row r="92" spans="1:9" ht="15.5" x14ac:dyDescent="0.35">
      <c r="A92" s="6">
        <v>91</v>
      </c>
      <c r="B92" s="5">
        <v>46028</v>
      </c>
      <c r="C92" s="8" t="s">
        <v>16</v>
      </c>
      <c r="D92" s="11">
        <v>4500</v>
      </c>
      <c r="E92" s="5">
        <v>46118</v>
      </c>
      <c r="F92" s="5">
        <v>46096</v>
      </c>
      <c r="G92" s="5">
        <v>45981</v>
      </c>
      <c r="H92" s="2" t="str">
        <f t="shared" si="2"/>
        <v>Paid</v>
      </c>
      <c r="I92" s="13">
        <f t="shared" si="3"/>
        <v>0</v>
      </c>
    </row>
    <row r="93" spans="1:9" ht="15.5" x14ac:dyDescent="0.35">
      <c r="A93" s="6">
        <v>92</v>
      </c>
      <c r="B93" s="5">
        <v>45949</v>
      </c>
      <c r="C93" s="8" t="s">
        <v>13</v>
      </c>
      <c r="D93" s="11">
        <v>7890</v>
      </c>
      <c r="E93" s="5">
        <v>46041</v>
      </c>
      <c r="F93" s="5">
        <v>46054</v>
      </c>
      <c r="G93" s="5">
        <v>45981</v>
      </c>
      <c r="H93" s="2" t="str">
        <f t="shared" si="2"/>
        <v>Paid</v>
      </c>
      <c r="I93" s="13">
        <f t="shared" si="3"/>
        <v>0</v>
      </c>
    </row>
    <row r="94" spans="1:9" ht="15.5" x14ac:dyDescent="0.35">
      <c r="A94" s="6">
        <v>93</v>
      </c>
      <c r="B94" s="5">
        <v>45839</v>
      </c>
      <c r="C94" s="8" t="s">
        <v>11</v>
      </c>
      <c r="D94" s="11">
        <v>1050</v>
      </c>
      <c r="E94" s="5">
        <v>45931</v>
      </c>
      <c r="F94" s="5">
        <v>46113</v>
      </c>
      <c r="G94" s="5">
        <v>45981</v>
      </c>
      <c r="H94" s="2" t="str">
        <f t="shared" si="2"/>
        <v>Paid</v>
      </c>
      <c r="I94" s="13">
        <f t="shared" si="3"/>
        <v>0</v>
      </c>
    </row>
    <row r="95" spans="1:9" ht="15.5" x14ac:dyDescent="0.35">
      <c r="A95" s="6">
        <v>94</v>
      </c>
      <c r="B95" s="5">
        <v>46006</v>
      </c>
      <c r="C95" s="8" t="s">
        <v>15</v>
      </c>
      <c r="D95" s="11">
        <v>3450.9</v>
      </c>
      <c r="E95" s="5">
        <v>46096</v>
      </c>
      <c r="F95" s="5">
        <v>46096</v>
      </c>
      <c r="G95" s="5">
        <v>45981</v>
      </c>
      <c r="H95" s="2" t="str">
        <f t="shared" si="2"/>
        <v>Paid</v>
      </c>
      <c r="I95" s="13">
        <f t="shared" si="3"/>
        <v>0</v>
      </c>
    </row>
    <row r="96" spans="1:9" ht="15.5" x14ac:dyDescent="0.35">
      <c r="A96" s="6">
        <v>95</v>
      </c>
      <c r="B96" s="5">
        <v>45786</v>
      </c>
      <c r="C96" s="8" t="s">
        <v>1</v>
      </c>
      <c r="D96" s="11">
        <v>2150</v>
      </c>
      <c r="E96" s="5">
        <v>45878</v>
      </c>
      <c r="F96" s="5">
        <v>45981</v>
      </c>
      <c r="G96" s="5">
        <v>45981</v>
      </c>
      <c r="H96" s="2" t="str">
        <f t="shared" si="2"/>
        <v>Paid</v>
      </c>
      <c r="I96" s="13">
        <f t="shared" si="3"/>
        <v>0</v>
      </c>
    </row>
    <row r="97" spans="1:9" ht="15.5" x14ac:dyDescent="0.35">
      <c r="A97" s="6">
        <v>96</v>
      </c>
      <c r="B97" s="5">
        <v>45904</v>
      </c>
      <c r="C97" s="8" t="s">
        <v>18</v>
      </c>
      <c r="D97" s="11">
        <v>99.5</v>
      </c>
      <c r="E97" s="5">
        <v>45995</v>
      </c>
      <c r="F97" s="5">
        <v>46042</v>
      </c>
      <c r="G97" s="5">
        <v>45981</v>
      </c>
      <c r="H97" s="2" t="str">
        <f t="shared" si="2"/>
        <v>Paid</v>
      </c>
      <c r="I97" s="13">
        <f t="shared" si="3"/>
        <v>0</v>
      </c>
    </row>
    <row r="98" spans="1:9" ht="15.5" x14ac:dyDescent="0.35">
      <c r="A98" s="6">
        <v>97</v>
      </c>
      <c r="B98" s="5">
        <v>46130</v>
      </c>
      <c r="C98" s="8" t="s">
        <v>0</v>
      </c>
      <c r="D98" s="11">
        <v>12000</v>
      </c>
      <c r="E98" s="5">
        <v>46221</v>
      </c>
      <c r="F98" s="5">
        <v>46091</v>
      </c>
      <c r="G98" s="5">
        <v>45981</v>
      </c>
      <c r="H98" s="2" t="str">
        <f t="shared" si="2"/>
        <v>Paid</v>
      </c>
      <c r="I98" s="13">
        <f t="shared" si="3"/>
        <v>0</v>
      </c>
    </row>
    <row r="99" spans="1:9" ht="15.5" x14ac:dyDescent="0.35">
      <c r="A99" s="6">
        <v>98</v>
      </c>
      <c r="B99" s="5">
        <v>45680</v>
      </c>
      <c r="C99" s="8" t="s">
        <v>9</v>
      </c>
      <c r="D99" s="11">
        <v>350</v>
      </c>
      <c r="E99" s="5">
        <v>45770</v>
      </c>
      <c r="F99" s="5">
        <v>46037</v>
      </c>
      <c r="G99" s="5">
        <v>45981</v>
      </c>
      <c r="H99" s="2" t="str">
        <f t="shared" si="2"/>
        <v>Paid</v>
      </c>
      <c r="I99" s="13">
        <f t="shared" si="3"/>
        <v>0</v>
      </c>
    </row>
    <row r="100" spans="1:9" ht="15.5" x14ac:dyDescent="0.35">
      <c r="A100" s="6">
        <v>99</v>
      </c>
      <c r="B100" s="5">
        <v>45998</v>
      </c>
      <c r="C100" s="8" t="s">
        <v>3</v>
      </c>
      <c r="D100" s="11">
        <v>6700</v>
      </c>
      <c r="E100" s="5">
        <v>46088</v>
      </c>
      <c r="F100" s="5">
        <v>45809</v>
      </c>
      <c r="G100" s="5">
        <v>45981</v>
      </c>
      <c r="H100" s="2" t="str">
        <f t="shared" si="2"/>
        <v>Paid</v>
      </c>
      <c r="I100" s="13">
        <f t="shared" si="3"/>
        <v>0</v>
      </c>
    </row>
    <row r="101" spans="1:9" ht="15.5" x14ac:dyDescent="0.35">
      <c r="A101" s="6">
        <v>100</v>
      </c>
      <c r="B101" s="5">
        <v>46074</v>
      </c>
      <c r="C101" s="8" t="s">
        <v>4</v>
      </c>
      <c r="D101" s="11">
        <v>1450</v>
      </c>
      <c r="E101" s="5">
        <v>46163</v>
      </c>
      <c r="F101" s="5">
        <v>45901</v>
      </c>
      <c r="G101" s="5">
        <v>45981</v>
      </c>
      <c r="H101" s="2" t="str">
        <f t="shared" si="2"/>
        <v>Paid</v>
      </c>
      <c r="I101" s="13">
        <f t="shared" si="3"/>
        <v>0</v>
      </c>
    </row>
    <row r="102" spans="1:9" ht="15.5" x14ac:dyDescent="0.35">
      <c r="A102" s="6">
        <v>101</v>
      </c>
      <c r="B102" s="5">
        <v>45843</v>
      </c>
      <c r="C102" s="8" t="s">
        <v>14</v>
      </c>
      <c r="D102" s="11">
        <v>8200</v>
      </c>
      <c r="E102" s="5">
        <v>45935</v>
      </c>
      <c r="F102" s="5">
        <v>45920</v>
      </c>
      <c r="G102" s="5">
        <v>45981</v>
      </c>
      <c r="H102" s="2" t="str">
        <f t="shared" si="2"/>
        <v>Paid</v>
      </c>
      <c r="I102" s="13">
        <f t="shared" si="3"/>
        <v>0</v>
      </c>
    </row>
    <row r="103" spans="1:9" ht="15.5" x14ac:dyDescent="0.35">
      <c r="A103" s="6">
        <v>102</v>
      </c>
      <c r="B103" s="5">
        <v>45898</v>
      </c>
      <c r="C103" s="8" t="s">
        <v>2</v>
      </c>
      <c r="D103" s="11">
        <v>500</v>
      </c>
      <c r="E103" s="5">
        <v>45990</v>
      </c>
      <c r="F103" s="5">
        <v>46127</v>
      </c>
      <c r="G103" s="5">
        <v>45981</v>
      </c>
      <c r="H103" s="2" t="str">
        <f t="shared" si="2"/>
        <v>Paid</v>
      </c>
      <c r="I103" s="13">
        <f t="shared" si="3"/>
        <v>0</v>
      </c>
    </row>
    <row r="104" spans="1:9" ht="15.5" x14ac:dyDescent="0.35">
      <c r="A104" s="6">
        <v>103</v>
      </c>
      <c r="B104" s="5">
        <v>46033</v>
      </c>
      <c r="C104" s="8" t="s">
        <v>17</v>
      </c>
      <c r="D104" s="11">
        <v>3750</v>
      </c>
      <c r="E104" s="5">
        <v>46123</v>
      </c>
      <c r="F104" s="5"/>
      <c r="G104" s="5">
        <v>45981</v>
      </c>
      <c r="H104" s="2" t="str">
        <f t="shared" si="2"/>
        <v>Unpaid</v>
      </c>
      <c r="I104" s="13">
        <f t="shared" si="3"/>
        <v>0</v>
      </c>
    </row>
    <row r="105" spans="1:9" ht="15.5" x14ac:dyDescent="0.35">
      <c r="A105" s="6">
        <v>104</v>
      </c>
      <c r="B105" s="5">
        <v>46005</v>
      </c>
      <c r="C105" s="8" t="s">
        <v>1</v>
      </c>
      <c r="D105" s="11">
        <v>2900</v>
      </c>
      <c r="E105" s="5">
        <v>46095</v>
      </c>
      <c r="F105" s="5">
        <v>45924</v>
      </c>
      <c r="G105" s="5">
        <v>45981</v>
      </c>
      <c r="H105" s="2" t="str">
        <f t="shared" si="2"/>
        <v>Paid</v>
      </c>
      <c r="I105" s="13">
        <f t="shared" si="3"/>
        <v>0</v>
      </c>
    </row>
    <row r="106" spans="1:9" ht="15.5" x14ac:dyDescent="0.35">
      <c r="A106" s="6">
        <v>105</v>
      </c>
      <c r="B106" s="5">
        <v>46056</v>
      </c>
      <c r="C106" s="8" t="s">
        <v>10</v>
      </c>
      <c r="D106" s="11">
        <v>1600</v>
      </c>
      <c r="E106" s="5">
        <v>46145</v>
      </c>
      <c r="F106" s="5"/>
      <c r="G106" s="5">
        <v>45981</v>
      </c>
      <c r="H106" s="2" t="str">
        <f t="shared" si="2"/>
        <v>Unpaid</v>
      </c>
      <c r="I106" s="13">
        <f t="shared" si="3"/>
        <v>0</v>
      </c>
    </row>
    <row r="107" spans="1:9" ht="15.5" x14ac:dyDescent="0.35">
      <c r="A107" s="6">
        <v>106</v>
      </c>
      <c r="B107" s="5">
        <v>45824</v>
      </c>
      <c r="C107" s="8" t="s">
        <v>12</v>
      </c>
      <c r="D107" s="11">
        <v>450</v>
      </c>
      <c r="E107" s="5">
        <v>45916</v>
      </c>
      <c r="F107" s="5">
        <v>46091</v>
      </c>
      <c r="G107" s="5">
        <v>45981</v>
      </c>
      <c r="H107" s="2" t="str">
        <f t="shared" si="2"/>
        <v>Paid</v>
      </c>
      <c r="I107" s="13">
        <f t="shared" si="3"/>
        <v>0</v>
      </c>
    </row>
    <row r="108" spans="1:9" ht="15.5" x14ac:dyDescent="0.35">
      <c r="A108" s="6">
        <v>107</v>
      </c>
      <c r="B108" s="5">
        <v>45931</v>
      </c>
      <c r="C108" s="8" t="s">
        <v>19</v>
      </c>
      <c r="D108" s="11">
        <v>1830</v>
      </c>
      <c r="E108" s="5">
        <v>46023</v>
      </c>
      <c r="F108" s="5"/>
      <c r="G108" s="5">
        <v>45981</v>
      </c>
      <c r="H108" s="2" t="str">
        <f t="shared" si="2"/>
        <v>Unpaid</v>
      </c>
      <c r="I108" s="13">
        <f t="shared" si="3"/>
        <v>0</v>
      </c>
    </row>
    <row r="109" spans="1:9" ht="15.5" x14ac:dyDescent="0.35">
      <c r="A109" s="6">
        <v>108</v>
      </c>
      <c r="B109" s="5">
        <v>45715</v>
      </c>
      <c r="C109" s="8" t="s">
        <v>11</v>
      </c>
      <c r="D109" s="11">
        <v>9000</v>
      </c>
      <c r="E109" s="5">
        <v>45804</v>
      </c>
      <c r="F109" s="5">
        <v>46152</v>
      </c>
      <c r="G109" s="5">
        <v>45981</v>
      </c>
      <c r="H109" s="2" t="str">
        <f t="shared" si="2"/>
        <v>Paid</v>
      </c>
      <c r="I109" s="13">
        <f t="shared" si="3"/>
        <v>0</v>
      </c>
    </row>
    <row r="110" spans="1:9" ht="15.5" x14ac:dyDescent="0.35">
      <c r="A110" s="6">
        <v>109</v>
      </c>
      <c r="B110" s="5">
        <v>45980</v>
      </c>
      <c r="C110" s="8" t="s">
        <v>0</v>
      </c>
      <c r="D110" s="11">
        <v>125</v>
      </c>
      <c r="E110" s="5">
        <v>46072</v>
      </c>
      <c r="F110" s="5">
        <v>45901</v>
      </c>
      <c r="G110" s="5">
        <v>45981</v>
      </c>
      <c r="H110" s="2" t="str">
        <f t="shared" si="2"/>
        <v>Paid</v>
      </c>
      <c r="I110" s="13">
        <f t="shared" si="3"/>
        <v>0</v>
      </c>
    </row>
    <row r="111" spans="1:9" ht="15.5" x14ac:dyDescent="0.35">
      <c r="A111" s="6">
        <v>110</v>
      </c>
      <c r="B111" s="5">
        <v>45912</v>
      </c>
      <c r="C111" s="8" t="s">
        <v>9</v>
      </c>
      <c r="D111" s="11">
        <v>5100</v>
      </c>
      <c r="E111" s="5">
        <v>46003</v>
      </c>
      <c r="F111" s="5">
        <v>45889</v>
      </c>
      <c r="G111" s="5">
        <v>45981</v>
      </c>
      <c r="H111" s="2" t="str">
        <f t="shared" si="2"/>
        <v>Paid</v>
      </c>
      <c r="I111" s="13">
        <f t="shared" si="3"/>
        <v>0</v>
      </c>
    </row>
    <row r="112" spans="1:9" ht="15.5" x14ac:dyDescent="0.35">
      <c r="A112" s="6">
        <v>111</v>
      </c>
      <c r="B112" s="5">
        <v>45665</v>
      </c>
      <c r="C112" s="8" t="s">
        <v>3</v>
      </c>
      <c r="D112" s="11">
        <v>1100</v>
      </c>
      <c r="E112" s="5">
        <v>45755</v>
      </c>
      <c r="F112" s="5">
        <v>46162</v>
      </c>
      <c r="G112" s="5">
        <v>45981</v>
      </c>
      <c r="H112" s="2" t="str">
        <f t="shared" si="2"/>
        <v>Paid</v>
      </c>
      <c r="I112" s="13">
        <f t="shared" si="3"/>
        <v>0</v>
      </c>
    </row>
    <row r="113" spans="1:9" ht="15.5" x14ac:dyDescent="0.35">
      <c r="A113" s="6">
        <v>112</v>
      </c>
      <c r="B113" s="5">
        <v>45812</v>
      </c>
      <c r="C113" s="8" t="s">
        <v>1</v>
      </c>
      <c r="D113" s="11">
        <v>15000</v>
      </c>
      <c r="E113" s="5">
        <v>45904</v>
      </c>
      <c r="F113" s="5"/>
      <c r="G113" s="5">
        <v>45981</v>
      </c>
      <c r="H113" s="2" t="str">
        <f t="shared" si="2"/>
        <v>Overdue</v>
      </c>
      <c r="I113" s="13">
        <f t="shared" si="3"/>
        <v>77</v>
      </c>
    </row>
    <row r="114" spans="1:9" ht="15.5" x14ac:dyDescent="0.35">
      <c r="A114" s="6">
        <v>113</v>
      </c>
      <c r="B114" s="5">
        <v>46133</v>
      </c>
      <c r="C114" s="8" t="s">
        <v>4</v>
      </c>
      <c r="D114" s="11">
        <v>2340</v>
      </c>
      <c r="E114" s="5">
        <v>46224</v>
      </c>
      <c r="F114" s="5"/>
      <c r="G114" s="5">
        <v>45981</v>
      </c>
      <c r="H114" s="2" t="str">
        <f t="shared" si="2"/>
        <v>Unpaid</v>
      </c>
      <c r="I114" s="13">
        <f t="shared" si="3"/>
        <v>0</v>
      </c>
    </row>
    <row r="115" spans="1:9" ht="15.5" x14ac:dyDescent="0.35">
      <c r="A115" s="6">
        <v>114</v>
      </c>
      <c r="B115" s="5">
        <v>46096</v>
      </c>
      <c r="C115" s="8" t="s">
        <v>14</v>
      </c>
      <c r="D115" s="11">
        <v>7900</v>
      </c>
      <c r="E115" s="5">
        <v>46188</v>
      </c>
      <c r="F115" s="5">
        <v>46011</v>
      </c>
      <c r="G115" s="5">
        <v>45981</v>
      </c>
      <c r="H115" s="2" t="str">
        <f t="shared" si="2"/>
        <v>Paid</v>
      </c>
      <c r="I115" s="13">
        <f t="shared" si="3"/>
        <v>0</v>
      </c>
    </row>
    <row r="116" spans="1:9" ht="15.5" x14ac:dyDescent="0.35">
      <c r="A116" s="6">
        <v>115</v>
      </c>
      <c r="B116" s="5">
        <v>45872</v>
      </c>
      <c r="C116" s="8" t="s">
        <v>2</v>
      </c>
      <c r="D116" s="11">
        <v>400</v>
      </c>
      <c r="E116" s="5">
        <v>45964</v>
      </c>
      <c r="F116" s="5">
        <v>46127</v>
      </c>
      <c r="G116" s="5">
        <v>45981</v>
      </c>
      <c r="H116" s="2" t="str">
        <f t="shared" si="2"/>
        <v>Paid</v>
      </c>
      <c r="I116" s="13">
        <f t="shared" si="3"/>
        <v>0</v>
      </c>
    </row>
    <row r="117" spans="1:9" ht="15.5" x14ac:dyDescent="0.35">
      <c r="A117" s="6">
        <v>116</v>
      </c>
      <c r="B117" s="5">
        <v>46019</v>
      </c>
      <c r="C117" s="8" t="s">
        <v>13</v>
      </c>
      <c r="D117" s="11">
        <v>1700</v>
      </c>
      <c r="E117" s="5">
        <v>46109</v>
      </c>
      <c r="F117" s="5">
        <v>45809</v>
      </c>
      <c r="G117" s="5">
        <v>45981</v>
      </c>
      <c r="H117" s="2" t="str">
        <f t="shared" si="2"/>
        <v>Paid</v>
      </c>
      <c r="I117" s="13">
        <f t="shared" si="3"/>
        <v>0</v>
      </c>
    </row>
    <row r="118" spans="1:9" ht="15.5" x14ac:dyDescent="0.35">
      <c r="A118" s="6">
        <v>117</v>
      </c>
      <c r="B118" s="5">
        <v>45939</v>
      </c>
      <c r="C118" s="8" t="s">
        <v>15</v>
      </c>
      <c r="D118" s="11">
        <v>5600</v>
      </c>
      <c r="E118" s="5">
        <v>46031</v>
      </c>
      <c r="F118" s="5"/>
      <c r="G118" s="5">
        <v>45981</v>
      </c>
      <c r="H118" s="2" t="str">
        <f t="shared" si="2"/>
        <v>Unpaid</v>
      </c>
      <c r="I118" s="13">
        <f t="shared" si="3"/>
        <v>0</v>
      </c>
    </row>
    <row r="119" spans="1:9" ht="15.5" x14ac:dyDescent="0.35">
      <c r="A119" s="6">
        <v>118</v>
      </c>
      <c r="B119" s="5">
        <v>46073</v>
      </c>
      <c r="C119" s="8" t="s">
        <v>16</v>
      </c>
      <c r="D119" s="11">
        <v>9200</v>
      </c>
      <c r="E119" s="5">
        <v>46162</v>
      </c>
      <c r="F119" s="5">
        <v>45976</v>
      </c>
      <c r="G119" s="5">
        <v>45981</v>
      </c>
      <c r="H119" s="2" t="str">
        <f t="shared" si="2"/>
        <v>Paid</v>
      </c>
      <c r="I119" s="13">
        <f t="shared" si="3"/>
        <v>0</v>
      </c>
    </row>
    <row r="120" spans="1:9" ht="15.5" x14ac:dyDescent="0.35">
      <c r="A120" s="6">
        <v>119</v>
      </c>
      <c r="B120" s="5">
        <v>45748</v>
      </c>
      <c r="C120" s="8" t="s">
        <v>0</v>
      </c>
      <c r="D120" s="11">
        <v>3100</v>
      </c>
      <c r="E120" s="5">
        <v>45839</v>
      </c>
      <c r="F120" s="5">
        <v>46101</v>
      </c>
      <c r="G120" s="5">
        <v>45981</v>
      </c>
      <c r="H120" s="2" t="str">
        <f t="shared" si="2"/>
        <v>Paid</v>
      </c>
      <c r="I120" s="13">
        <f t="shared" si="3"/>
        <v>0</v>
      </c>
    </row>
    <row r="121" spans="1:9" ht="15.5" x14ac:dyDescent="0.35">
      <c r="A121" s="6">
        <v>120</v>
      </c>
      <c r="B121" s="5">
        <v>46036</v>
      </c>
      <c r="C121" s="8" t="s">
        <v>18</v>
      </c>
      <c r="D121" s="11">
        <v>1200</v>
      </c>
      <c r="E121" s="5">
        <v>46126</v>
      </c>
      <c r="F121" s="5">
        <v>45839</v>
      </c>
      <c r="G121" s="5">
        <v>45981</v>
      </c>
      <c r="H121" s="2" t="str">
        <f t="shared" si="2"/>
        <v>Paid</v>
      </c>
      <c r="I121" s="13">
        <f t="shared" si="3"/>
        <v>0</v>
      </c>
    </row>
    <row r="122" spans="1:9" ht="15.5" x14ac:dyDescent="0.35">
      <c r="A122" s="6">
        <v>121</v>
      </c>
      <c r="B122" s="5">
        <v>45987</v>
      </c>
      <c r="C122" s="8" t="s">
        <v>1</v>
      </c>
      <c r="D122" s="11">
        <v>800</v>
      </c>
      <c r="E122" s="5">
        <v>46079</v>
      </c>
      <c r="F122" s="5">
        <v>45981</v>
      </c>
      <c r="G122" s="5">
        <v>45981</v>
      </c>
      <c r="H122" s="2" t="str">
        <f t="shared" si="2"/>
        <v>Paid</v>
      </c>
      <c r="I122" s="13">
        <f t="shared" si="3"/>
        <v>0</v>
      </c>
    </row>
    <row r="123" spans="1:9" ht="15.5" x14ac:dyDescent="0.35">
      <c r="A123" s="6">
        <v>122</v>
      </c>
      <c r="B123" s="5">
        <v>45910</v>
      </c>
      <c r="C123" s="8" t="s">
        <v>3</v>
      </c>
      <c r="D123" s="11">
        <v>5500</v>
      </c>
      <c r="E123" s="5">
        <v>46001</v>
      </c>
      <c r="F123" s="5"/>
      <c r="G123" s="5">
        <v>45981</v>
      </c>
      <c r="H123" s="2" t="str">
        <f t="shared" si="2"/>
        <v>Unpaid</v>
      </c>
      <c r="I123" s="13">
        <f t="shared" si="3"/>
        <v>0</v>
      </c>
    </row>
    <row r="124" spans="1:9" ht="15.5" x14ac:dyDescent="0.35">
      <c r="A124" s="6">
        <v>123</v>
      </c>
      <c r="B124" s="5">
        <v>46027</v>
      </c>
      <c r="C124" s="8" t="s">
        <v>11</v>
      </c>
      <c r="D124" s="11">
        <v>12500</v>
      </c>
      <c r="E124" s="5">
        <v>46117</v>
      </c>
      <c r="F124" s="5">
        <v>46162</v>
      </c>
      <c r="G124" s="5">
        <v>45981</v>
      </c>
      <c r="H124" s="2" t="str">
        <f t="shared" si="2"/>
        <v>Paid</v>
      </c>
      <c r="I124" s="13">
        <f t="shared" si="3"/>
        <v>0</v>
      </c>
    </row>
    <row r="125" spans="1:9" ht="15.5" x14ac:dyDescent="0.35">
      <c r="A125" s="6">
        <v>124</v>
      </c>
      <c r="B125" s="5">
        <v>45892</v>
      </c>
      <c r="C125" s="8" t="s">
        <v>9</v>
      </c>
      <c r="D125" s="11">
        <v>4800</v>
      </c>
      <c r="E125" s="5">
        <v>45984</v>
      </c>
      <c r="F125" s="5">
        <v>45870</v>
      </c>
      <c r="G125" s="5">
        <v>45981</v>
      </c>
      <c r="H125" s="2" t="str">
        <f t="shared" si="2"/>
        <v>Paid</v>
      </c>
      <c r="I125" s="13">
        <f t="shared" si="3"/>
        <v>0</v>
      </c>
    </row>
    <row r="126" spans="1:9" ht="15.5" x14ac:dyDescent="0.35">
      <c r="A126" s="6">
        <v>125</v>
      </c>
      <c r="B126" s="5">
        <v>46008</v>
      </c>
      <c r="C126" s="8" t="s">
        <v>2</v>
      </c>
      <c r="D126" s="11">
        <v>1950</v>
      </c>
      <c r="E126" s="5">
        <v>46098</v>
      </c>
      <c r="F126" s="5"/>
      <c r="G126" s="5">
        <v>45981</v>
      </c>
      <c r="H126" s="2" t="str">
        <f t="shared" si="2"/>
        <v>Unpaid</v>
      </c>
      <c r="I126" s="13">
        <f t="shared" si="3"/>
        <v>0</v>
      </c>
    </row>
    <row r="127" spans="1:9" ht="15.5" x14ac:dyDescent="0.35">
      <c r="A127" s="6">
        <v>126</v>
      </c>
      <c r="B127" s="5">
        <v>45827</v>
      </c>
      <c r="C127" s="8" t="s">
        <v>17</v>
      </c>
      <c r="D127" s="11">
        <v>6000</v>
      </c>
      <c r="E127" s="5">
        <v>45919</v>
      </c>
      <c r="F127" s="5">
        <v>46001</v>
      </c>
      <c r="G127" s="5">
        <v>45981</v>
      </c>
      <c r="H127" s="2" t="str">
        <f t="shared" si="2"/>
        <v>Paid</v>
      </c>
      <c r="I127" s="13">
        <f t="shared" si="3"/>
        <v>0</v>
      </c>
    </row>
    <row r="128" spans="1:9" ht="15.5" x14ac:dyDescent="0.35">
      <c r="A128" s="6">
        <v>127</v>
      </c>
      <c r="B128" s="5">
        <v>45634</v>
      </c>
      <c r="C128" s="8" t="s">
        <v>10</v>
      </c>
      <c r="D128" s="11">
        <v>300</v>
      </c>
      <c r="E128" s="5">
        <v>45724</v>
      </c>
      <c r="F128" s="5">
        <v>46068</v>
      </c>
      <c r="G128" s="5">
        <v>45981</v>
      </c>
      <c r="H128" s="2" t="str">
        <f t="shared" si="2"/>
        <v>Paid</v>
      </c>
      <c r="I128" s="13">
        <f t="shared" si="3"/>
        <v>0</v>
      </c>
    </row>
    <row r="129" spans="1:9" ht="15.5" x14ac:dyDescent="0.35">
      <c r="A129" s="6">
        <v>128</v>
      </c>
      <c r="B129" s="5">
        <v>45963</v>
      </c>
      <c r="C129" s="8" t="s">
        <v>12</v>
      </c>
      <c r="D129" s="11">
        <v>250</v>
      </c>
      <c r="E129" s="5">
        <v>46055</v>
      </c>
      <c r="F129" s="5">
        <v>46091</v>
      </c>
      <c r="G129" s="5">
        <v>45981</v>
      </c>
      <c r="H129" s="2" t="str">
        <f t="shared" si="2"/>
        <v>Paid</v>
      </c>
      <c r="I129" s="13">
        <f t="shared" si="3"/>
        <v>0</v>
      </c>
    </row>
    <row r="130" spans="1:9" ht="15.5" x14ac:dyDescent="0.35">
      <c r="A130" s="6">
        <v>129</v>
      </c>
      <c r="B130" s="5">
        <v>46042</v>
      </c>
      <c r="C130" s="8" t="s">
        <v>1</v>
      </c>
      <c r="D130" s="11">
        <v>8800</v>
      </c>
      <c r="E130" s="5">
        <v>46132</v>
      </c>
      <c r="F130" s="5">
        <v>46223</v>
      </c>
      <c r="G130" s="5">
        <v>45981</v>
      </c>
      <c r="H130" s="2" t="str">
        <f t="shared" si="2"/>
        <v>Paid</v>
      </c>
      <c r="I130" s="13">
        <f t="shared" si="3"/>
        <v>0</v>
      </c>
    </row>
    <row r="131" spans="1:9" ht="15.5" x14ac:dyDescent="0.35">
      <c r="A131" s="6">
        <v>130</v>
      </c>
      <c r="B131" s="5">
        <v>45753</v>
      </c>
      <c r="C131" s="8" t="s">
        <v>19</v>
      </c>
      <c r="D131" s="11">
        <v>1100</v>
      </c>
      <c r="E131" s="5">
        <v>45844</v>
      </c>
      <c r="F131" s="5">
        <v>46132</v>
      </c>
      <c r="G131" s="5">
        <v>45981</v>
      </c>
      <c r="H131" s="2" t="str">
        <f t="shared" ref="H131:H194" si="4">IF(F131&lt;&gt;"","Paid",IF(E131&lt;$G$2,"Overdue","Unpaid"))</f>
        <v>Paid</v>
      </c>
      <c r="I131" s="13">
        <f t="shared" ref="I131:I194" si="5">IF(H131="Overdue", G131-E131, 0)</f>
        <v>0</v>
      </c>
    </row>
    <row r="132" spans="1:9" ht="15.5" x14ac:dyDescent="0.35">
      <c r="A132" s="6">
        <v>131</v>
      </c>
      <c r="B132" s="5">
        <v>46066</v>
      </c>
      <c r="C132" s="8" t="s">
        <v>4</v>
      </c>
      <c r="D132" s="11">
        <v>4300</v>
      </c>
      <c r="E132" s="5">
        <v>46155</v>
      </c>
      <c r="F132" s="5">
        <v>46157</v>
      </c>
      <c r="G132" s="5">
        <v>45981</v>
      </c>
      <c r="H132" s="2" t="str">
        <f t="shared" si="4"/>
        <v>Paid</v>
      </c>
      <c r="I132" s="13">
        <f t="shared" si="5"/>
        <v>0</v>
      </c>
    </row>
    <row r="133" spans="1:9" ht="15.5" x14ac:dyDescent="0.35">
      <c r="A133" s="6">
        <v>132</v>
      </c>
      <c r="B133" s="5">
        <v>45948</v>
      </c>
      <c r="C133" s="8" t="s">
        <v>14</v>
      </c>
      <c r="D133" s="11">
        <v>900</v>
      </c>
      <c r="E133" s="5">
        <v>46040</v>
      </c>
      <c r="F133" s="5">
        <v>46091</v>
      </c>
      <c r="G133" s="5">
        <v>45981</v>
      </c>
      <c r="H133" s="2" t="str">
        <f t="shared" si="4"/>
        <v>Paid</v>
      </c>
      <c r="I133" s="13">
        <f t="shared" si="5"/>
        <v>0</v>
      </c>
    </row>
    <row r="134" spans="1:9" ht="15.5" x14ac:dyDescent="0.35">
      <c r="A134" s="6">
        <v>133</v>
      </c>
      <c r="B134" s="5">
        <v>45862</v>
      </c>
      <c r="C134" s="8" t="s">
        <v>0</v>
      </c>
      <c r="D134" s="11">
        <v>1750</v>
      </c>
      <c r="E134" s="5">
        <v>45954</v>
      </c>
      <c r="F134" s="5">
        <v>45809</v>
      </c>
      <c r="G134" s="5">
        <v>45981</v>
      </c>
      <c r="H134" s="2" t="str">
        <f t="shared" si="4"/>
        <v>Paid</v>
      </c>
      <c r="I134" s="13">
        <f t="shared" si="5"/>
        <v>0</v>
      </c>
    </row>
    <row r="135" spans="1:9" ht="15.5" x14ac:dyDescent="0.35">
      <c r="A135" s="6">
        <v>134</v>
      </c>
      <c r="B135" s="5">
        <v>46029</v>
      </c>
      <c r="C135" s="8" t="s">
        <v>3</v>
      </c>
      <c r="D135" s="11">
        <v>2900</v>
      </c>
      <c r="E135" s="5">
        <v>46119</v>
      </c>
      <c r="F135" s="5">
        <v>46037</v>
      </c>
      <c r="G135" s="5">
        <v>45981</v>
      </c>
      <c r="H135" s="2" t="str">
        <f t="shared" si="4"/>
        <v>Paid</v>
      </c>
      <c r="I135" s="13">
        <f t="shared" si="5"/>
        <v>0</v>
      </c>
    </row>
    <row r="136" spans="1:9" ht="15.5" x14ac:dyDescent="0.35">
      <c r="A136" s="6">
        <v>135</v>
      </c>
      <c r="B136" s="5">
        <v>46020</v>
      </c>
      <c r="C136" s="8" t="s">
        <v>2</v>
      </c>
      <c r="D136" s="11">
        <v>6200</v>
      </c>
      <c r="E136" s="5">
        <v>46110</v>
      </c>
      <c r="F136" s="5">
        <v>45971</v>
      </c>
      <c r="G136" s="5">
        <v>45981</v>
      </c>
      <c r="H136" s="2" t="str">
        <f t="shared" si="4"/>
        <v>Paid</v>
      </c>
      <c r="I136" s="13">
        <f t="shared" si="5"/>
        <v>0</v>
      </c>
    </row>
    <row r="137" spans="1:9" ht="15.5" x14ac:dyDescent="0.35">
      <c r="A137" s="6">
        <v>136</v>
      </c>
      <c r="B137" s="5">
        <v>45879</v>
      </c>
      <c r="C137" s="8" t="s">
        <v>13</v>
      </c>
      <c r="D137" s="11">
        <v>3600</v>
      </c>
      <c r="E137" s="5">
        <v>45971</v>
      </c>
      <c r="F137" s="5">
        <v>46091</v>
      </c>
      <c r="G137" s="5">
        <v>45981</v>
      </c>
      <c r="H137" s="2" t="str">
        <f t="shared" si="4"/>
        <v>Paid</v>
      </c>
      <c r="I137" s="13">
        <f t="shared" si="5"/>
        <v>0</v>
      </c>
    </row>
    <row r="138" spans="1:9" ht="15.5" x14ac:dyDescent="0.35">
      <c r="A138" s="6">
        <v>137</v>
      </c>
      <c r="B138" s="5">
        <v>46057</v>
      </c>
      <c r="C138" s="8" t="s">
        <v>15</v>
      </c>
      <c r="D138" s="11">
        <v>1500</v>
      </c>
      <c r="E138" s="5">
        <v>46146</v>
      </c>
      <c r="F138" s="5">
        <v>46152</v>
      </c>
      <c r="G138" s="5">
        <v>45981</v>
      </c>
      <c r="H138" s="2" t="str">
        <f t="shared" si="4"/>
        <v>Paid</v>
      </c>
      <c r="I138" s="13">
        <f t="shared" si="5"/>
        <v>0</v>
      </c>
    </row>
    <row r="139" spans="1:9" ht="15.5" x14ac:dyDescent="0.35">
      <c r="A139" s="6">
        <v>138</v>
      </c>
      <c r="B139" s="5">
        <v>45912</v>
      </c>
      <c r="C139" s="8" t="s">
        <v>16</v>
      </c>
      <c r="D139" s="11">
        <v>4900</v>
      </c>
      <c r="E139" s="5">
        <v>46093</v>
      </c>
      <c r="F139" s="5">
        <v>45981</v>
      </c>
      <c r="G139" s="5">
        <v>45981</v>
      </c>
      <c r="H139" s="2" t="str">
        <f t="shared" si="4"/>
        <v>Paid</v>
      </c>
      <c r="I139" s="13">
        <f t="shared" si="5"/>
        <v>0</v>
      </c>
    </row>
    <row r="140" spans="1:9" ht="15.5" x14ac:dyDescent="0.35">
      <c r="A140" s="6">
        <v>139</v>
      </c>
      <c r="B140" s="5">
        <v>45717</v>
      </c>
      <c r="C140" s="8" t="s">
        <v>1</v>
      </c>
      <c r="D140" s="11">
        <v>2100</v>
      </c>
      <c r="E140" s="5">
        <v>45809</v>
      </c>
      <c r="F140" s="5">
        <v>46032</v>
      </c>
      <c r="G140" s="5">
        <v>45981</v>
      </c>
      <c r="H140" s="2" t="str">
        <f t="shared" si="4"/>
        <v>Paid</v>
      </c>
      <c r="I140" s="13">
        <f t="shared" si="5"/>
        <v>0</v>
      </c>
    </row>
    <row r="141" spans="1:9" ht="15.5" x14ac:dyDescent="0.35">
      <c r="A141" s="6">
        <v>140</v>
      </c>
      <c r="B141" s="5">
        <v>45886</v>
      </c>
      <c r="C141" s="8" t="s">
        <v>18</v>
      </c>
      <c r="D141" s="11">
        <v>7300</v>
      </c>
      <c r="E141" s="5">
        <v>45978</v>
      </c>
      <c r="F141" s="5">
        <v>46096</v>
      </c>
      <c r="G141" s="5">
        <v>45981</v>
      </c>
      <c r="H141" s="2" t="str">
        <f t="shared" si="4"/>
        <v>Paid</v>
      </c>
      <c r="I141" s="13">
        <f t="shared" si="5"/>
        <v>0</v>
      </c>
    </row>
    <row r="142" spans="1:9" ht="15.5" x14ac:dyDescent="0.35">
      <c r="A142" s="6">
        <v>141</v>
      </c>
      <c r="B142" s="5">
        <v>45798</v>
      </c>
      <c r="C142" s="8" t="s">
        <v>11</v>
      </c>
      <c r="D142" s="11">
        <v>180</v>
      </c>
      <c r="E142" s="5">
        <v>45890</v>
      </c>
      <c r="F142" s="5">
        <v>45839</v>
      </c>
      <c r="G142" s="5">
        <v>45981</v>
      </c>
      <c r="H142" s="2" t="str">
        <f t="shared" si="4"/>
        <v>Paid</v>
      </c>
      <c r="I142" s="13">
        <f t="shared" si="5"/>
        <v>0</v>
      </c>
    </row>
    <row r="143" spans="1:9" ht="15.5" x14ac:dyDescent="0.35">
      <c r="A143" s="6">
        <v>142</v>
      </c>
      <c r="B143" s="5">
        <v>45945</v>
      </c>
      <c r="C143" s="8" t="s">
        <v>9</v>
      </c>
      <c r="D143" s="11">
        <v>5400</v>
      </c>
      <c r="E143" s="5">
        <v>46037</v>
      </c>
      <c r="F143" s="5">
        <v>46096</v>
      </c>
      <c r="G143" s="5">
        <v>45981</v>
      </c>
      <c r="H143" s="2" t="str">
        <f t="shared" si="4"/>
        <v>Paid</v>
      </c>
      <c r="I143" s="13">
        <f t="shared" si="5"/>
        <v>0</v>
      </c>
    </row>
    <row r="144" spans="1:9" ht="15.5" x14ac:dyDescent="0.35">
      <c r="A144" s="6">
        <v>143</v>
      </c>
      <c r="B144" s="5">
        <v>46140</v>
      </c>
      <c r="C144" s="8" t="s">
        <v>0</v>
      </c>
      <c r="D144" s="11">
        <v>1350</v>
      </c>
      <c r="E144" s="5">
        <v>46231</v>
      </c>
      <c r="F144" s="5"/>
      <c r="G144" s="5">
        <v>45981</v>
      </c>
      <c r="H144" s="2" t="str">
        <f t="shared" si="4"/>
        <v>Unpaid</v>
      </c>
      <c r="I144" s="13">
        <f t="shared" si="5"/>
        <v>0</v>
      </c>
    </row>
    <row r="145" spans="1:9" ht="15.5" x14ac:dyDescent="0.35">
      <c r="A145" s="6">
        <v>144</v>
      </c>
      <c r="B145" s="5">
        <v>45691</v>
      </c>
      <c r="C145" s="8" t="s">
        <v>3</v>
      </c>
      <c r="D145" s="11">
        <v>9800</v>
      </c>
      <c r="E145" s="5">
        <v>45780</v>
      </c>
      <c r="F145" s="5">
        <v>46162</v>
      </c>
      <c r="G145" s="5">
        <v>45981</v>
      </c>
      <c r="H145" s="2" t="str">
        <f t="shared" si="4"/>
        <v>Paid</v>
      </c>
      <c r="I145" s="13">
        <f t="shared" si="5"/>
        <v>0</v>
      </c>
    </row>
    <row r="146" spans="1:9" ht="15.5" x14ac:dyDescent="0.35">
      <c r="A146" s="6">
        <v>145</v>
      </c>
      <c r="B146" s="5">
        <v>45854</v>
      </c>
      <c r="C146" s="8" t="s">
        <v>4</v>
      </c>
      <c r="D146" s="11">
        <v>450</v>
      </c>
      <c r="E146" s="5">
        <v>45946</v>
      </c>
      <c r="F146" s="5">
        <v>46162</v>
      </c>
      <c r="G146" s="5">
        <v>45981</v>
      </c>
      <c r="H146" s="2" t="str">
        <f t="shared" si="4"/>
        <v>Paid</v>
      </c>
      <c r="I146" s="13">
        <f t="shared" si="5"/>
        <v>0</v>
      </c>
    </row>
    <row r="147" spans="1:9" ht="15.5" x14ac:dyDescent="0.35">
      <c r="A147" s="6">
        <v>146</v>
      </c>
      <c r="B147" s="5">
        <v>45969</v>
      </c>
      <c r="C147" s="8" t="s">
        <v>2</v>
      </c>
      <c r="D147" s="11">
        <v>2700</v>
      </c>
      <c r="E147" s="5">
        <v>46061</v>
      </c>
      <c r="F147" s="5">
        <v>46143</v>
      </c>
      <c r="G147" s="5">
        <v>45981</v>
      </c>
      <c r="H147" s="2" t="str">
        <f t="shared" si="4"/>
        <v>Paid</v>
      </c>
      <c r="I147" s="13">
        <f t="shared" si="5"/>
        <v>0</v>
      </c>
    </row>
    <row r="148" spans="1:9" ht="15.5" x14ac:dyDescent="0.35">
      <c r="A148" s="6">
        <v>147</v>
      </c>
      <c r="B148" s="5">
        <v>45923</v>
      </c>
      <c r="C148" s="8" t="s">
        <v>14</v>
      </c>
      <c r="D148" s="11">
        <v>6500</v>
      </c>
      <c r="E148" s="5">
        <v>46014</v>
      </c>
      <c r="F148" s="5">
        <v>46096</v>
      </c>
      <c r="G148" s="5">
        <v>45981</v>
      </c>
      <c r="H148" s="2" t="str">
        <f t="shared" si="4"/>
        <v>Paid</v>
      </c>
      <c r="I148" s="13">
        <f t="shared" si="5"/>
        <v>0</v>
      </c>
    </row>
    <row r="149" spans="1:9" ht="15.5" x14ac:dyDescent="0.35">
      <c r="A149" s="6">
        <v>148</v>
      </c>
      <c r="B149" s="5">
        <v>46002</v>
      </c>
      <c r="C149" s="8" t="s">
        <v>17</v>
      </c>
      <c r="D149" s="11">
        <v>3900</v>
      </c>
      <c r="E149" s="5">
        <v>46092</v>
      </c>
      <c r="F149" s="5">
        <v>45981</v>
      </c>
      <c r="G149" s="5">
        <v>45981</v>
      </c>
      <c r="H149" s="2" t="str">
        <f t="shared" si="4"/>
        <v>Paid</v>
      </c>
      <c r="I149" s="13">
        <f t="shared" si="5"/>
        <v>0</v>
      </c>
    </row>
    <row r="150" spans="1:9" ht="15.5" x14ac:dyDescent="0.35">
      <c r="A150" s="6">
        <v>149</v>
      </c>
      <c r="B150" s="5">
        <v>46132</v>
      </c>
      <c r="C150" s="8" t="s">
        <v>1</v>
      </c>
      <c r="D150" s="11">
        <v>8100</v>
      </c>
      <c r="E150" s="5">
        <v>46223</v>
      </c>
      <c r="F150" s="5">
        <v>46096</v>
      </c>
      <c r="G150" s="5">
        <v>45981</v>
      </c>
      <c r="H150" s="2" t="str">
        <f t="shared" si="4"/>
        <v>Paid</v>
      </c>
      <c r="I150" s="13">
        <f t="shared" si="5"/>
        <v>0</v>
      </c>
    </row>
    <row r="151" spans="1:9" ht="15.5" x14ac:dyDescent="0.35">
      <c r="A151" s="6">
        <v>150</v>
      </c>
      <c r="B151" s="5">
        <v>45813</v>
      </c>
      <c r="C151" s="8" t="s">
        <v>10</v>
      </c>
      <c r="D151" s="11">
        <v>12000</v>
      </c>
      <c r="E151" s="5">
        <v>45905</v>
      </c>
      <c r="F151" s="5">
        <v>45920</v>
      </c>
      <c r="G151" s="5">
        <v>45981</v>
      </c>
      <c r="H151" s="2" t="str">
        <f t="shared" si="4"/>
        <v>Paid</v>
      </c>
      <c r="I151" s="13">
        <f t="shared" si="5"/>
        <v>0</v>
      </c>
    </row>
    <row r="152" spans="1:9" ht="15.5" x14ac:dyDescent="0.35">
      <c r="A152" s="6">
        <v>151</v>
      </c>
      <c r="B152" s="5">
        <v>46039</v>
      </c>
      <c r="C152" s="8" t="s">
        <v>12</v>
      </c>
      <c r="D152" s="11">
        <v>2200</v>
      </c>
      <c r="E152" s="5">
        <v>46129</v>
      </c>
      <c r="F152" s="5">
        <v>45778</v>
      </c>
      <c r="G152" s="5">
        <v>45981</v>
      </c>
      <c r="H152" s="2" t="str">
        <f t="shared" si="4"/>
        <v>Paid</v>
      </c>
      <c r="I152" s="13">
        <f t="shared" si="5"/>
        <v>0</v>
      </c>
    </row>
    <row r="153" spans="1:9" ht="15.5" x14ac:dyDescent="0.35">
      <c r="A153" s="6">
        <v>152</v>
      </c>
      <c r="B153" s="5">
        <v>46065</v>
      </c>
      <c r="C153" s="8" t="s">
        <v>19</v>
      </c>
      <c r="D153" s="11">
        <v>1400</v>
      </c>
      <c r="E153" s="5">
        <v>46154</v>
      </c>
      <c r="F153" s="5">
        <v>46091</v>
      </c>
      <c r="G153" s="5">
        <v>45981</v>
      </c>
      <c r="H153" s="2" t="str">
        <f t="shared" si="4"/>
        <v>Paid</v>
      </c>
      <c r="I153" s="13">
        <f t="shared" si="5"/>
        <v>0</v>
      </c>
    </row>
    <row r="154" spans="1:9" ht="15.5" x14ac:dyDescent="0.35">
      <c r="A154" s="6">
        <v>153</v>
      </c>
      <c r="B154" s="5">
        <v>45802</v>
      </c>
      <c r="C154" s="8" t="s">
        <v>9</v>
      </c>
      <c r="D154" s="11">
        <v>7700</v>
      </c>
      <c r="E154" s="5">
        <v>45894</v>
      </c>
      <c r="F154" s="5">
        <v>45797</v>
      </c>
      <c r="G154" s="5">
        <v>45981</v>
      </c>
      <c r="H154" s="2" t="str">
        <f t="shared" si="4"/>
        <v>Paid</v>
      </c>
      <c r="I154" s="13">
        <f t="shared" si="5"/>
        <v>0</v>
      </c>
    </row>
    <row r="155" spans="1:9" ht="15.5" x14ac:dyDescent="0.35">
      <c r="A155" s="6">
        <v>154</v>
      </c>
      <c r="B155" s="5">
        <v>46001</v>
      </c>
      <c r="C155" s="8" t="s">
        <v>11</v>
      </c>
      <c r="D155" s="11">
        <v>3500</v>
      </c>
      <c r="E155" s="5">
        <v>46091</v>
      </c>
      <c r="F155" s="5">
        <v>45920</v>
      </c>
      <c r="G155" s="5">
        <v>45981</v>
      </c>
      <c r="H155" s="2" t="str">
        <f t="shared" si="4"/>
        <v>Paid</v>
      </c>
      <c r="I155" s="13">
        <f t="shared" si="5"/>
        <v>0</v>
      </c>
    </row>
    <row r="156" spans="1:9" ht="15.5" x14ac:dyDescent="0.35">
      <c r="A156" s="6">
        <v>155</v>
      </c>
      <c r="B156" s="5">
        <v>45689</v>
      </c>
      <c r="C156" s="8" t="s">
        <v>0</v>
      </c>
      <c r="D156" s="11">
        <v>9000</v>
      </c>
      <c r="E156" s="5">
        <v>45778</v>
      </c>
      <c r="F156" s="5"/>
      <c r="G156" s="5">
        <v>45981</v>
      </c>
      <c r="H156" s="2" t="str">
        <f t="shared" si="4"/>
        <v>Overdue</v>
      </c>
      <c r="I156" s="13">
        <f t="shared" si="5"/>
        <v>203</v>
      </c>
    </row>
    <row r="157" spans="1:9" ht="15.5" x14ac:dyDescent="0.35">
      <c r="A157" s="6">
        <v>156</v>
      </c>
      <c r="B157" s="5">
        <v>45823</v>
      </c>
      <c r="C157" s="8" t="s">
        <v>3</v>
      </c>
      <c r="D157" s="11">
        <v>1600</v>
      </c>
      <c r="E157" s="5">
        <v>45915</v>
      </c>
      <c r="F157" s="5"/>
      <c r="G157" s="5">
        <v>45981</v>
      </c>
      <c r="H157" s="2" t="str">
        <f t="shared" si="4"/>
        <v>Overdue</v>
      </c>
      <c r="I157" s="13">
        <f t="shared" si="5"/>
        <v>66</v>
      </c>
    </row>
    <row r="158" spans="1:9" ht="15.5" x14ac:dyDescent="0.35">
      <c r="A158" s="6">
        <v>157</v>
      </c>
      <c r="B158" s="5">
        <v>45874</v>
      </c>
      <c r="C158" s="8" t="s">
        <v>4</v>
      </c>
      <c r="D158" s="11">
        <v>4600</v>
      </c>
      <c r="E158" s="5">
        <v>45966</v>
      </c>
      <c r="F158" s="5">
        <v>45772</v>
      </c>
      <c r="G158" s="5">
        <v>45981</v>
      </c>
      <c r="H158" s="2" t="str">
        <f t="shared" si="4"/>
        <v>Paid</v>
      </c>
      <c r="I158" s="13">
        <f t="shared" si="5"/>
        <v>0</v>
      </c>
    </row>
    <row r="159" spans="1:9" ht="15.5" x14ac:dyDescent="0.35">
      <c r="A159" s="6">
        <v>158</v>
      </c>
      <c r="B159" s="5">
        <v>46132</v>
      </c>
      <c r="C159" s="8" t="s">
        <v>2</v>
      </c>
      <c r="D159" s="11">
        <v>550</v>
      </c>
      <c r="E159" s="5">
        <v>46223</v>
      </c>
      <c r="F159" s="5">
        <v>46047</v>
      </c>
      <c r="G159" s="5">
        <v>45981</v>
      </c>
      <c r="H159" s="2" t="str">
        <f t="shared" si="4"/>
        <v>Paid</v>
      </c>
      <c r="I159" s="13">
        <f t="shared" si="5"/>
        <v>0</v>
      </c>
    </row>
    <row r="160" spans="1:9" ht="15.5" x14ac:dyDescent="0.35">
      <c r="A160" s="6">
        <v>159</v>
      </c>
      <c r="B160" s="5">
        <v>45668</v>
      </c>
      <c r="C160" s="8" t="s">
        <v>1</v>
      </c>
      <c r="D160" s="11">
        <v>10500</v>
      </c>
      <c r="E160" s="5">
        <v>45758</v>
      </c>
      <c r="F160" s="5">
        <v>45736</v>
      </c>
      <c r="G160" s="5">
        <v>45981</v>
      </c>
      <c r="H160" s="2" t="str">
        <f t="shared" si="4"/>
        <v>Paid</v>
      </c>
      <c r="I160" s="13">
        <f t="shared" si="5"/>
        <v>0</v>
      </c>
    </row>
    <row r="161" spans="1:9" ht="15.5" x14ac:dyDescent="0.35">
      <c r="A161" s="6">
        <v>160</v>
      </c>
      <c r="B161" s="5">
        <v>45933</v>
      </c>
      <c r="C161" s="8" t="s">
        <v>13</v>
      </c>
      <c r="D161" s="11">
        <v>2500</v>
      </c>
      <c r="E161" s="5">
        <v>46025</v>
      </c>
      <c r="F161" s="5"/>
      <c r="G161" s="5">
        <v>45981</v>
      </c>
      <c r="H161" s="2" t="str">
        <f t="shared" si="4"/>
        <v>Unpaid</v>
      </c>
      <c r="I161" s="13">
        <f t="shared" si="5"/>
        <v>0</v>
      </c>
    </row>
    <row r="162" spans="1:9" ht="15.5" x14ac:dyDescent="0.35">
      <c r="A162" s="6">
        <v>161</v>
      </c>
      <c r="B162" s="5">
        <v>45644</v>
      </c>
      <c r="C162" s="8" t="s">
        <v>15</v>
      </c>
      <c r="D162" s="11">
        <v>1900</v>
      </c>
      <c r="E162" s="5">
        <v>45734</v>
      </c>
      <c r="F162" s="5">
        <v>45782</v>
      </c>
      <c r="G162" s="5">
        <v>45981</v>
      </c>
      <c r="H162" s="2" t="str">
        <f t="shared" si="4"/>
        <v>Paid</v>
      </c>
      <c r="I162" s="13">
        <f t="shared" si="5"/>
        <v>0</v>
      </c>
    </row>
    <row r="163" spans="1:9" ht="15.5" x14ac:dyDescent="0.35">
      <c r="A163" s="6">
        <v>162</v>
      </c>
      <c r="B163" s="5">
        <v>45963</v>
      </c>
      <c r="C163" s="8" t="s">
        <v>16</v>
      </c>
      <c r="D163" s="11">
        <v>8400</v>
      </c>
      <c r="E163" s="5">
        <v>46055</v>
      </c>
      <c r="F163" s="5"/>
      <c r="G163" s="5">
        <v>45981</v>
      </c>
      <c r="H163" s="2" t="str">
        <f t="shared" si="4"/>
        <v>Unpaid</v>
      </c>
      <c r="I163" s="13">
        <f t="shared" si="5"/>
        <v>0</v>
      </c>
    </row>
    <row r="164" spans="1:9" ht="15.5" x14ac:dyDescent="0.35">
      <c r="A164" s="6">
        <v>163</v>
      </c>
      <c r="B164" s="5">
        <v>45686</v>
      </c>
      <c r="C164" s="8" t="s">
        <v>18</v>
      </c>
      <c r="D164" s="11">
        <v>3200</v>
      </c>
      <c r="E164" s="5">
        <v>45776</v>
      </c>
      <c r="F164" s="5">
        <v>45870</v>
      </c>
      <c r="G164" s="5">
        <v>45981</v>
      </c>
      <c r="H164" s="2" t="str">
        <f t="shared" si="4"/>
        <v>Paid</v>
      </c>
      <c r="I164" s="13">
        <f t="shared" si="5"/>
        <v>0</v>
      </c>
    </row>
    <row r="165" spans="1:9" ht="15.5" x14ac:dyDescent="0.35">
      <c r="A165" s="6">
        <v>164</v>
      </c>
      <c r="B165" s="5">
        <v>45914</v>
      </c>
      <c r="C165" s="8" t="s">
        <v>14</v>
      </c>
      <c r="D165" s="11">
        <v>4700</v>
      </c>
      <c r="E165" s="5">
        <v>46005</v>
      </c>
      <c r="F165" s="5"/>
      <c r="G165" s="5">
        <v>45981</v>
      </c>
      <c r="H165" s="2" t="str">
        <f t="shared" si="4"/>
        <v>Unpaid</v>
      </c>
      <c r="I165" s="13">
        <f t="shared" si="5"/>
        <v>0</v>
      </c>
    </row>
    <row r="166" spans="1:9" ht="15.5" x14ac:dyDescent="0.35">
      <c r="A166" s="6">
        <v>165</v>
      </c>
      <c r="B166" s="5">
        <v>45755</v>
      </c>
      <c r="C166" s="8" t="s">
        <v>0</v>
      </c>
      <c r="D166" s="11">
        <v>1150</v>
      </c>
      <c r="E166" s="5">
        <v>45846</v>
      </c>
      <c r="F166" s="5"/>
      <c r="G166" s="5">
        <v>45981</v>
      </c>
      <c r="H166" s="2" t="str">
        <f t="shared" si="4"/>
        <v>Overdue</v>
      </c>
      <c r="I166" s="13">
        <f t="shared" si="5"/>
        <v>135</v>
      </c>
    </row>
    <row r="167" spans="1:9" ht="15.5" x14ac:dyDescent="0.35">
      <c r="A167" s="6">
        <v>166</v>
      </c>
      <c r="B167" s="5">
        <v>45952</v>
      </c>
      <c r="C167" s="8" t="s">
        <v>9</v>
      </c>
      <c r="D167" s="11">
        <v>5300</v>
      </c>
      <c r="E167" s="5">
        <v>46044</v>
      </c>
      <c r="F167" s="5">
        <v>45823</v>
      </c>
      <c r="G167" s="5">
        <v>45981</v>
      </c>
      <c r="H167" s="2" t="str">
        <f t="shared" si="4"/>
        <v>Paid</v>
      </c>
      <c r="I167" s="13">
        <f t="shared" si="5"/>
        <v>0</v>
      </c>
    </row>
    <row r="168" spans="1:9" ht="15.5" x14ac:dyDescent="0.35">
      <c r="A168" s="6">
        <v>167</v>
      </c>
      <c r="B168" s="5">
        <v>46039</v>
      </c>
      <c r="C168" s="8" t="s">
        <v>3</v>
      </c>
      <c r="D168" s="11">
        <v>15000</v>
      </c>
      <c r="E168" s="5">
        <v>46129</v>
      </c>
      <c r="F168" s="5"/>
      <c r="G168" s="5">
        <v>45981</v>
      </c>
      <c r="H168" s="2" t="str">
        <f t="shared" si="4"/>
        <v>Unpaid</v>
      </c>
      <c r="I168" s="13">
        <f t="shared" si="5"/>
        <v>0</v>
      </c>
    </row>
    <row r="169" spans="1:9" ht="15.5" x14ac:dyDescent="0.35">
      <c r="A169" s="6">
        <v>168</v>
      </c>
      <c r="B169" s="5">
        <v>45722</v>
      </c>
      <c r="C169" s="8" t="s">
        <v>4</v>
      </c>
      <c r="D169" s="11">
        <v>650</v>
      </c>
      <c r="E169" s="5">
        <v>45814</v>
      </c>
      <c r="F169" s="5"/>
      <c r="G169" s="5">
        <v>45981</v>
      </c>
      <c r="H169" s="2" t="str">
        <f t="shared" si="4"/>
        <v>Overdue</v>
      </c>
      <c r="I169" s="13">
        <f t="shared" si="5"/>
        <v>167</v>
      </c>
    </row>
    <row r="170" spans="1:9" ht="15.5" x14ac:dyDescent="0.35">
      <c r="A170" s="6">
        <v>169</v>
      </c>
      <c r="B170" s="5">
        <v>46000</v>
      </c>
      <c r="C170" s="8" t="s">
        <v>1</v>
      </c>
      <c r="D170" s="11">
        <v>2800</v>
      </c>
      <c r="E170" s="5">
        <v>46090</v>
      </c>
      <c r="F170" s="5">
        <v>45767</v>
      </c>
      <c r="G170" s="5">
        <v>45981</v>
      </c>
      <c r="H170" s="2" t="str">
        <f t="shared" si="4"/>
        <v>Paid</v>
      </c>
      <c r="I170" s="13">
        <f t="shared" si="5"/>
        <v>0</v>
      </c>
    </row>
    <row r="171" spans="1:9" ht="15.5" x14ac:dyDescent="0.35">
      <c r="A171" s="6">
        <v>170</v>
      </c>
      <c r="B171" s="5">
        <v>45980</v>
      </c>
      <c r="C171" s="8" t="s">
        <v>2</v>
      </c>
      <c r="D171" s="11">
        <v>1850</v>
      </c>
      <c r="E171" s="5">
        <v>46072</v>
      </c>
      <c r="F171" s="5">
        <v>45962</v>
      </c>
      <c r="G171" s="5">
        <v>45981</v>
      </c>
      <c r="H171" s="2" t="str">
        <f t="shared" si="4"/>
        <v>Paid</v>
      </c>
      <c r="I171" s="13">
        <f t="shared" si="5"/>
        <v>0</v>
      </c>
    </row>
    <row r="172" spans="1:9" ht="15.5" x14ac:dyDescent="0.35">
      <c r="A172" s="6">
        <v>171</v>
      </c>
      <c r="B172" s="5">
        <v>45678</v>
      </c>
      <c r="C172" s="8" t="s">
        <v>17</v>
      </c>
      <c r="D172" s="11">
        <v>7100</v>
      </c>
      <c r="E172" s="5">
        <v>45768</v>
      </c>
      <c r="F172" s="5"/>
      <c r="G172" s="5">
        <v>45981</v>
      </c>
      <c r="H172" s="2" t="str">
        <f t="shared" si="4"/>
        <v>Overdue</v>
      </c>
      <c r="I172" s="13">
        <f t="shared" si="5"/>
        <v>213</v>
      </c>
    </row>
    <row r="173" spans="1:9" ht="15.5" x14ac:dyDescent="0.35">
      <c r="A173" s="6">
        <v>172</v>
      </c>
      <c r="B173" s="5">
        <v>45842</v>
      </c>
      <c r="C173" s="8" t="s">
        <v>10</v>
      </c>
      <c r="D173" s="11">
        <v>2600</v>
      </c>
      <c r="E173" s="5">
        <v>45934</v>
      </c>
      <c r="F173" s="5">
        <v>46023</v>
      </c>
      <c r="G173" s="5">
        <v>45981</v>
      </c>
      <c r="H173" s="2" t="str">
        <f t="shared" si="4"/>
        <v>Paid</v>
      </c>
      <c r="I173" s="13">
        <f t="shared" si="5"/>
        <v>0</v>
      </c>
    </row>
    <row r="174" spans="1:9" ht="15.5" x14ac:dyDescent="0.35">
      <c r="A174" s="6">
        <v>173</v>
      </c>
      <c r="B174" s="5">
        <v>45998</v>
      </c>
      <c r="C174" s="8" t="s">
        <v>12</v>
      </c>
      <c r="D174" s="11">
        <v>4400</v>
      </c>
      <c r="E174" s="5">
        <v>46088</v>
      </c>
      <c r="F174" s="5"/>
      <c r="G174" s="5">
        <v>45981</v>
      </c>
      <c r="H174" s="2" t="str">
        <f t="shared" si="4"/>
        <v>Unpaid</v>
      </c>
      <c r="I174" s="13">
        <f t="shared" si="5"/>
        <v>0</v>
      </c>
    </row>
    <row r="175" spans="1:9" ht="15.5" x14ac:dyDescent="0.35">
      <c r="A175" s="6">
        <v>174</v>
      </c>
      <c r="B175" s="5">
        <v>45923</v>
      </c>
      <c r="C175" s="8" t="s">
        <v>19</v>
      </c>
      <c r="D175" s="11">
        <v>9500</v>
      </c>
      <c r="E175" s="5">
        <v>46014</v>
      </c>
      <c r="F175" s="5">
        <v>45853</v>
      </c>
      <c r="G175" s="5">
        <v>45981</v>
      </c>
      <c r="H175" s="2" t="str">
        <f t="shared" si="4"/>
        <v>Paid</v>
      </c>
      <c r="I175" s="13">
        <f t="shared" si="5"/>
        <v>0</v>
      </c>
    </row>
    <row r="176" spans="1:9" ht="15.5" x14ac:dyDescent="0.35">
      <c r="A176" s="6">
        <v>175</v>
      </c>
      <c r="B176" s="5">
        <v>46066</v>
      </c>
      <c r="C176" s="8" t="s">
        <v>11</v>
      </c>
      <c r="D176" s="11">
        <v>3300</v>
      </c>
      <c r="E176" s="5">
        <v>46155</v>
      </c>
      <c r="F176" s="5"/>
      <c r="G176" s="5">
        <v>45981</v>
      </c>
      <c r="H176" s="2" t="str">
        <f t="shared" si="4"/>
        <v>Unpaid</v>
      </c>
      <c r="I176" s="13">
        <f t="shared" si="5"/>
        <v>0</v>
      </c>
    </row>
    <row r="177" spans="1:9" ht="15.5" x14ac:dyDescent="0.35">
      <c r="A177" s="6">
        <v>176</v>
      </c>
      <c r="B177" s="5">
        <v>45748</v>
      </c>
      <c r="C177" s="8" t="s">
        <v>0</v>
      </c>
      <c r="D177" s="11">
        <v>1550</v>
      </c>
      <c r="E177" s="5">
        <v>45839</v>
      </c>
      <c r="F177" s="5">
        <v>45813</v>
      </c>
      <c r="G177" s="5">
        <v>45981</v>
      </c>
      <c r="H177" s="2" t="str">
        <f t="shared" si="4"/>
        <v>Paid</v>
      </c>
      <c r="I177" s="13">
        <f t="shared" si="5"/>
        <v>0</v>
      </c>
    </row>
    <row r="178" spans="1:9" ht="15.5" x14ac:dyDescent="0.35">
      <c r="A178" s="6">
        <v>177</v>
      </c>
      <c r="B178" s="5">
        <v>46008</v>
      </c>
      <c r="C178" s="8" t="s">
        <v>9</v>
      </c>
      <c r="D178" s="11">
        <v>5900</v>
      </c>
      <c r="E178" s="5">
        <v>46098</v>
      </c>
      <c r="F178" s="5">
        <v>45971</v>
      </c>
      <c r="G178" s="5">
        <v>45981</v>
      </c>
      <c r="H178" s="2" t="str">
        <f t="shared" si="4"/>
        <v>Paid</v>
      </c>
      <c r="I178" s="13">
        <f t="shared" si="5"/>
        <v>0</v>
      </c>
    </row>
    <row r="179" spans="1:9" ht="15.5" x14ac:dyDescent="0.35">
      <c r="A179" s="6">
        <v>178</v>
      </c>
      <c r="B179" s="5">
        <v>45716</v>
      </c>
      <c r="C179" s="8" t="s">
        <v>3</v>
      </c>
      <c r="D179" s="11">
        <v>2750</v>
      </c>
      <c r="E179" s="5">
        <v>45805</v>
      </c>
      <c r="F179" s="5"/>
      <c r="G179" s="5">
        <v>45981</v>
      </c>
      <c r="H179" s="2" t="str">
        <f t="shared" si="4"/>
        <v>Overdue</v>
      </c>
      <c r="I179" s="13">
        <f t="shared" si="5"/>
        <v>176</v>
      </c>
    </row>
    <row r="180" spans="1:9" ht="15.5" x14ac:dyDescent="0.35">
      <c r="A180" s="6">
        <v>179</v>
      </c>
      <c r="B180" s="5">
        <v>45871</v>
      </c>
      <c r="C180" s="8" t="s">
        <v>1</v>
      </c>
      <c r="D180" s="11">
        <v>1000</v>
      </c>
      <c r="E180" s="5">
        <v>45963</v>
      </c>
      <c r="F180" s="5">
        <v>45767</v>
      </c>
      <c r="G180" s="5">
        <v>45981</v>
      </c>
      <c r="H180" s="2" t="str">
        <f t="shared" si="4"/>
        <v>Paid</v>
      </c>
      <c r="I180" s="13">
        <f t="shared" si="5"/>
        <v>0</v>
      </c>
    </row>
    <row r="181" spans="1:9" ht="15.5" x14ac:dyDescent="0.35">
      <c r="A181" s="6">
        <v>180</v>
      </c>
      <c r="B181" s="5">
        <v>45941</v>
      </c>
      <c r="C181" s="8" t="s">
        <v>4</v>
      </c>
      <c r="D181" s="11">
        <v>6800</v>
      </c>
      <c r="E181" s="5">
        <v>46033</v>
      </c>
      <c r="F181" s="5">
        <v>45818</v>
      </c>
      <c r="G181" s="5">
        <v>45981</v>
      </c>
      <c r="H181" s="2" t="str">
        <f t="shared" si="4"/>
        <v>Paid</v>
      </c>
      <c r="I181" s="13">
        <f t="shared" si="5"/>
        <v>0</v>
      </c>
    </row>
    <row r="182" spans="1:9" ht="15.5" x14ac:dyDescent="0.35">
      <c r="A182" s="6">
        <v>181</v>
      </c>
      <c r="B182" s="5">
        <v>45661</v>
      </c>
      <c r="C182" s="8" t="s">
        <v>2</v>
      </c>
      <c r="D182" s="11">
        <v>1890.5</v>
      </c>
      <c r="E182" s="5">
        <v>45751</v>
      </c>
      <c r="F182" s="5"/>
      <c r="G182" s="5">
        <v>45981</v>
      </c>
      <c r="H182" s="2" t="str">
        <f t="shared" si="4"/>
        <v>Overdue</v>
      </c>
      <c r="I182" s="13">
        <f t="shared" si="5"/>
        <v>230</v>
      </c>
    </row>
    <row r="183" spans="1:9" ht="15.5" x14ac:dyDescent="0.35">
      <c r="A183" s="6">
        <v>182</v>
      </c>
      <c r="B183" s="5">
        <v>45732</v>
      </c>
      <c r="C183" s="8" t="s">
        <v>13</v>
      </c>
      <c r="D183" s="11">
        <v>4100</v>
      </c>
      <c r="E183" s="5">
        <v>45824</v>
      </c>
      <c r="F183" s="5"/>
      <c r="G183" s="5">
        <v>45981</v>
      </c>
      <c r="H183" s="2" t="str">
        <f t="shared" si="4"/>
        <v>Overdue</v>
      </c>
      <c r="I183" s="13">
        <f t="shared" si="5"/>
        <v>157</v>
      </c>
    </row>
    <row r="184" spans="1:9" ht="15.5" x14ac:dyDescent="0.35">
      <c r="A184" s="6">
        <v>183</v>
      </c>
      <c r="B184" s="5">
        <v>45988</v>
      </c>
      <c r="C184" s="8" t="s">
        <v>14</v>
      </c>
      <c r="D184" s="11">
        <v>750</v>
      </c>
      <c r="E184" s="5">
        <v>46080</v>
      </c>
      <c r="F184" s="5">
        <v>45931</v>
      </c>
      <c r="G184" s="5">
        <v>45981</v>
      </c>
      <c r="H184" s="2" t="str">
        <f t="shared" si="4"/>
        <v>Paid</v>
      </c>
      <c r="I184" s="13">
        <f t="shared" si="5"/>
        <v>0</v>
      </c>
    </row>
    <row r="185" spans="1:9" ht="15.5" x14ac:dyDescent="0.35">
      <c r="A185" s="6">
        <v>184</v>
      </c>
      <c r="B185" s="5">
        <v>46034</v>
      </c>
      <c r="C185" s="8" t="s">
        <v>15</v>
      </c>
      <c r="D185" s="11">
        <v>2980</v>
      </c>
      <c r="E185" s="5">
        <v>46124</v>
      </c>
      <c r="F185" s="5">
        <v>45736</v>
      </c>
      <c r="G185" s="5">
        <v>45981</v>
      </c>
      <c r="H185" s="2" t="str">
        <f t="shared" si="4"/>
        <v>Paid</v>
      </c>
      <c r="I185" s="13">
        <f t="shared" si="5"/>
        <v>0</v>
      </c>
    </row>
    <row r="186" spans="1:9" ht="15.5" x14ac:dyDescent="0.35">
      <c r="A186" s="6">
        <v>185</v>
      </c>
      <c r="B186" s="5">
        <v>45813</v>
      </c>
      <c r="C186" s="8" t="s">
        <v>16</v>
      </c>
      <c r="D186" s="11">
        <v>1250</v>
      </c>
      <c r="E186" s="5">
        <v>45905</v>
      </c>
      <c r="F186" s="5">
        <v>45976</v>
      </c>
      <c r="G186" s="5">
        <v>45981</v>
      </c>
      <c r="H186" s="2" t="str">
        <f t="shared" si="4"/>
        <v>Paid</v>
      </c>
      <c r="I186" s="13">
        <f t="shared" si="5"/>
        <v>0</v>
      </c>
    </row>
    <row r="187" spans="1:9" ht="15.5" x14ac:dyDescent="0.35">
      <c r="A187" s="6">
        <v>186</v>
      </c>
      <c r="B187" s="5">
        <v>45646</v>
      </c>
      <c r="C187" s="8" t="s">
        <v>18</v>
      </c>
      <c r="D187" s="11">
        <v>9870.2999999999993</v>
      </c>
      <c r="E187" s="5">
        <v>45736</v>
      </c>
      <c r="F187" s="5">
        <v>45915</v>
      </c>
      <c r="G187" s="5">
        <v>45981</v>
      </c>
      <c r="H187" s="2" t="str">
        <f t="shared" si="4"/>
        <v>Paid</v>
      </c>
      <c r="I187" s="13">
        <f t="shared" si="5"/>
        <v>0</v>
      </c>
    </row>
    <row r="188" spans="1:9" ht="15.5" x14ac:dyDescent="0.35">
      <c r="A188" s="6">
        <v>187</v>
      </c>
      <c r="B188" s="5">
        <v>45882</v>
      </c>
      <c r="C188" s="8" t="s">
        <v>0</v>
      </c>
      <c r="D188" s="11">
        <v>645</v>
      </c>
      <c r="E188" s="5">
        <v>45974</v>
      </c>
      <c r="F188" s="5">
        <v>45962</v>
      </c>
      <c r="G188" s="5">
        <v>45981</v>
      </c>
      <c r="H188" s="2" t="str">
        <f t="shared" si="4"/>
        <v>Paid</v>
      </c>
      <c r="I188" s="13">
        <f t="shared" si="5"/>
        <v>0</v>
      </c>
    </row>
    <row r="189" spans="1:9" ht="15.5" x14ac:dyDescent="0.35">
      <c r="A189" s="6">
        <v>188</v>
      </c>
      <c r="B189" s="5">
        <v>45786</v>
      </c>
      <c r="C189" s="8" t="s">
        <v>9</v>
      </c>
      <c r="D189" s="11">
        <v>3200</v>
      </c>
      <c r="E189" s="5">
        <v>45878</v>
      </c>
      <c r="F189" s="5"/>
      <c r="G189" s="5">
        <v>45981</v>
      </c>
      <c r="H189" s="2" t="str">
        <f t="shared" si="4"/>
        <v>Overdue</v>
      </c>
      <c r="I189" s="13">
        <f t="shared" si="5"/>
        <v>103</v>
      </c>
    </row>
    <row r="190" spans="1:9" ht="15.5" x14ac:dyDescent="0.35">
      <c r="A190" s="6">
        <v>189</v>
      </c>
      <c r="B190" s="5">
        <v>45862</v>
      </c>
      <c r="C190" s="8" t="s">
        <v>3</v>
      </c>
      <c r="D190" s="11">
        <v>150</v>
      </c>
      <c r="E190" s="5">
        <v>45954</v>
      </c>
      <c r="F190" s="5">
        <v>45736</v>
      </c>
      <c r="G190" s="5">
        <v>45981</v>
      </c>
      <c r="H190" s="2" t="str">
        <f t="shared" si="4"/>
        <v>Paid</v>
      </c>
      <c r="I190" s="13">
        <f t="shared" si="5"/>
        <v>0</v>
      </c>
    </row>
    <row r="191" spans="1:9" ht="15.5" x14ac:dyDescent="0.35">
      <c r="A191" s="6">
        <v>190</v>
      </c>
      <c r="B191" s="5">
        <v>46056</v>
      </c>
      <c r="C191" s="8" t="s">
        <v>1</v>
      </c>
      <c r="D191" s="11">
        <v>11230</v>
      </c>
      <c r="E191" s="5">
        <v>46145</v>
      </c>
      <c r="F191" s="5"/>
      <c r="G191" s="5">
        <v>45981</v>
      </c>
      <c r="H191" s="2" t="str">
        <f t="shared" si="4"/>
        <v>Unpaid</v>
      </c>
      <c r="I191" s="13">
        <f t="shared" si="5"/>
        <v>0</v>
      </c>
    </row>
    <row r="192" spans="1:9" ht="15.5" x14ac:dyDescent="0.35">
      <c r="A192" s="6">
        <v>191</v>
      </c>
      <c r="B192" s="5">
        <v>45641</v>
      </c>
      <c r="C192" s="8" t="s">
        <v>4</v>
      </c>
      <c r="D192" s="11">
        <v>4500</v>
      </c>
      <c r="E192" s="5">
        <v>45731</v>
      </c>
      <c r="F192" s="5">
        <v>46006</v>
      </c>
      <c r="G192" s="5">
        <v>45981</v>
      </c>
      <c r="H192" s="2" t="str">
        <f t="shared" si="4"/>
        <v>Paid</v>
      </c>
      <c r="I192" s="13">
        <f t="shared" si="5"/>
        <v>0</v>
      </c>
    </row>
    <row r="193" spans="1:9" ht="15.5" x14ac:dyDescent="0.35">
      <c r="A193" s="6">
        <v>192</v>
      </c>
      <c r="B193" s="5">
        <v>45951</v>
      </c>
      <c r="C193" s="8" t="s">
        <v>2</v>
      </c>
      <c r="D193" s="11">
        <v>7890</v>
      </c>
      <c r="E193" s="5">
        <v>46043</v>
      </c>
      <c r="F193" s="5">
        <v>45905</v>
      </c>
      <c r="G193" s="5">
        <v>45981</v>
      </c>
      <c r="H193" s="2" t="str">
        <f t="shared" si="4"/>
        <v>Paid</v>
      </c>
      <c r="I193" s="13">
        <f t="shared" si="5"/>
        <v>0</v>
      </c>
    </row>
    <row r="194" spans="1:9" ht="15.5" x14ac:dyDescent="0.35">
      <c r="A194" s="6">
        <v>193</v>
      </c>
      <c r="B194" s="5">
        <v>45910</v>
      </c>
      <c r="C194" s="8" t="s">
        <v>17</v>
      </c>
      <c r="D194" s="11">
        <v>1050</v>
      </c>
      <c r="E194" s="5">
        <v>46001</v>
      </c>
      <c r="F194" s="5">
        <v>45828</v>
      </c>
      <c r="G194" s="5">
        <v>45981</v>
      </c>
      <c r="H194" s="2" t="str">
        <f t="shared" si="4"/>
        <v>Paid</v>
      </c>
      <c r="I194" s="13">
        <f t="shared" si="5"/>
        <v>0</v>
      </c>
    </row>
    <row r="195" spans="1:9" ht="15.5" x14ac:dyDescent="0.35">
      <c r="A195" s="6">
        <v>194</v>
      </c>
      <c r="B195" s="5">
        <v>45805</v>
      </c>
      <c r="C195" s="8" t="s">
        <v>10</v>
      </c>
      <c r="D195" s="11">
        <v>3450.9</v>
      </c>
      <c r="E195" s="5">
        <v>45897</v>
      </c>
      <c r="F195" s="5"/>
      <c r="G195" s="5">
        <v>45981</v>
      </c>
      <c r="H195" s="2" t="str">
        <f t="shared" ref="H195:H201" si="6">IF(F195&lt;&gt;"","Paid",IF(E195&lt;$G$2,"Overdue","Unpaid"))</f>
        <v>Overdue</v>
      </c>
      <c r="I195" s="13">
        <f t="shared" ref="I195:I201" si="7">IF(H195="Overdue", G195-E195, 0)</f>
        <v>84</v>
      </c>
    </row>
    <row r="196" spans="1:9" ht="15.5" x14ac:dyDescent="0.35">
      <c r="A196" s="6">
        <v>195</v>
      </c>
      <c r="B196" s="5">
        <v>45717</v>
      </c>
      <c r="C196" s="8" t="s">
        <v>12</v>
      </c>
      <c r="D196" s="11">
        <v>2150</v>
      </c>
      <c r="E196" s="5">
        <v>45809</v>
      </c>
      <c r="F196" s="5"/>
      <c r="G196" s="5">
        <v>45981</v>
      </c>
      <c r="H196" s="2" t="str">
        <f t="shared" si="6"/>
        <v>Overdue</v>
      </c>
      <c r="I196" s="13">
        <f t="shared" si="7"/>
        <v>172</v>
      </c>
    </row>
    <row r="197" spans="1:9" ht="15.5" x14ac:dyDescent="0.35">
      <c r="A197" s="6">
        <v>196</v>
      </c>
      <c r="B197" s="5">
        <v>46029</v>
      </c>
      <c r="C197" s="8" t="s">
        <v>19</v>
      </c>
      <c r="D197" s="11">
        <v>99.5</v>
      </c>
      <c r="E197" s="5">
        <v>46119</v>
      </c>
      <c r="F197" s="5"/>
      <c r="G197" s="5">
        <v>45981</v>
      </c>
      <c r="H197" s="2" t="str">
        <f t="shared" si="6"/>
        <v>Unpaid</v>
      </c>
      <c r="I197" s="13">
        <f t="shared" si="7"/>
        <v>0</v>
      </c>
    </row>
    <row r="198" spans="1:9" ht="15.5" x14ac:dyDescent="0.35">
      <c r="A198" s="6">
        <v>197</v>
      </c>
      <c r="B198" s="5">
        <v>46079</v>
      </c>
      <c r="C198" s="8" t="s">
        <v>11</v>
      </c>
      <c r="D198" s="11">
        <v>12000</v>
      </c>
      <c r="E198" s="5">
        <v>46168</v>
      </c>
      <c r="F198" s="5"/>
      <c r="G198" s="5">
        <v>45981</v>
      </c>
      <c r="H198" s="2" t="str">
        <f t="shared" si="6"/>
        <v>Unpaid</v>
      </c>
      <c r="I198" s="13">
        <f t="shared" si="7"/>
        <v>0</v>
      </c>
    </row>
    <row r="199" spans="1:9" ht="15.5" x14ac:dyDescent="0.35">
      <c r="A199" s="6">
        <v>198</v>
      </c>
      <c r="B199" s="5">
        <v>45980</v>
      </c>
      <c r="C199" s="8" t="s">
        <v>0</v>
      </c>
      <c r="D199" s="11">
        <v>350</v>
      </c>
      <c r="E199" s="5">
        <v>46072</v>
      </c>
      <c r="F199" s="5">
        <v>45962</v>
      </c>
      <c r="G199" s="5">
        <v>45981</v>
      </c>
      <c r="H199" s="2" t="str">
        <f t="shared" si="6"/>
        <v>Paid</v>
      </c>
      <c r="I199" s="13">
        <f t="shared" si="7"/>
        <v>0</v>
      </c>
    </row>
    <row r="200" spans="1:9" ht="15.5" x14ac:dyDescent="0.35">
      <c r="A200" s="6">
        <v>199</v>
      </c>
      <c r="B200" s="5">
        <v>46005</v>
      </c>
      <c r="C200" s="8" t="s">
        <v>9</v>
      </c>
      <c r="D200" s="11">
        <v>6700</v>
      </c>
      <c r="E200" s="5">
        <v>46095</v>
      </c>
      <c r="F200" s="5"/>
      <c r="G200" s="5">
        <v>45981</v>
      </c>
      <c r="H200" s="2" t="str">
        <f t="shared" si="6"/>
        <v>Unpaid</v>
      </c>
      <c r="I200" s="13">
        <f t="shared" si="7"/>
        <v>0</v>
      </c>
    </row>
    <row r="201" spans="1:9" ht="15.5" x14ac:dyDescent="0.35">
      <c r="A201" s="6">
        <v>200</v>
      </c>
      <c r="B201" s="5">
        <v>45858</v>
      </c>
      <c r="C201" s="8" t="s">
        <v>3</v>
      </c>
      <c r="D201" s="11">
        <v>1450</v>
      </c>
      <c r="E201" s="5">
        <v>45950</v>
      </c>
      <c r="F201" s="5">
        <v>45920</v>
      </c>
      <c r="G201" s="5">
        <v>45981</v>
      </c>
      <c r="H201" s="2" t="str">
        <f t="shared" si="6"/>
        <v>Paid</v>
      </c>
      <c r="I201" s="13">
        <f t="shared" si="7"/>
        <v>0</v>
      </c>
    </row>
  </sheetData>
  <conditionalFormatting sqref="H1:H1048576">
    <cfRule type="cellIs" dxfId="2" priority="1" operator="equal">
      <formula>"Unpaid"</formula>
    </cfRule>
    <cfRule type="cellIs" dxfId="1" priority="2" operator="equal">
      <formula>"Paid"</formula>
    </cfRule>
    <cfRule type="cellIs" dxfId="0" priority="3" operator="equal">
      <formula>"Overdue"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D69F-5719-4ECE-A976-CD9A45525F6C}">
  <dimension ref="A1:H201"/>
  <sheetViews>
    <sheetView topLeftCell="A4" zoomScale="85" zoomScaleNormal="85" workbookViewId="0">
      <selection activeCell="C4" sqref="C4"/>
    </sheetView>
  </sheetViews>
  <sheetFormatPr defaultRowHeight="14.5" x14ac:dyDescent="0.35"/>
  <cols>
    <col min="1" max="1" width="15.08984375" style="9" customWidth="1"/>
    <col min="3" max="3" width="28.90625" customWidth="1"/>
    <col min="4" max="4" width="28.81640625" customWidth="1"/>
    <col min="5" max="6" width="6.36328125" customWidth="1"/>
    <col min="7" max="7" width="20.90625" customWidth="1"/>
    <col min="8" max="8" width="50.54296875" customWidth="1"/>
  </cols>
  <sheetData>
    <row r="1" spans="1:8" ht="15.5" x14ac:dyDescent="0.35">
      <c r="A1" s="7" t="s">
        <v>5</v>
      </c>
    </row>
    <row r="2" spans="1:8" x14ac:dyDescent="0.35">
      <c r="A2" s="8" t="s">
        <v>10</v>
      </c>
      <c r="C2" s="22" t="s">
        <v>31</v>
      </c>
      <c r="D2" s="23"/>
      <c r="G2" s="22" t="s">
        <v>26</v>
      </c>
      <c r="H2" s="23"/>
    </row>
    <row r="3" spans="1:8" x14ac:dyDescent="0.35">
      <c r="A3" s="8" t="s">
        <v>11</v>
      </c>
      <c r="C3" s="15" t="s">
        <v>27</v>
      </c>
      <c r="D3" s="15" t="s">
        <v>29</v>
      </c>
      <c r="G3" s="15" t="s">
        <v>27</v>
      </c>
      <c r="H3" s="15" t="s">
        <v>29</v>
      </c>
    </row>
    <row r="4" spans="1:8" x14ac:dyDescent="0.35">
      <c r="A4" s="8" t="s">
        <v>0</v>
      </c>
      <c r="C4" s="16" t="s">
        <v>10</v>
      </c>
      <c r="D4" s="17">
        <f>COUNTIF(Analysis_Sheet!C:C, Dashboard!C4)</f>
        <v>9</v>
      </c>
      <c r="G4" s="16" t="s">
        <v>10</v>
      </c>
      <c r="H4" s="19">
        <f>COUNTIFS(Analysis_Sheet!C:C, G4, Analysis_Sheet!H:H, "Overdue") + COUNTIFS(Analysis_Sheet!C:C, G4, Analysis_Sheet!H:H, "Unpaid")</f>
        <v>2</v>
      </c>
    </row>
    <row r="5" spans="1:8" ht="60" customHeight="1" x14ac:dyDescent="0.35">
      <c r="A5" s="8" t="s">
        <v>9</v>
      </c>
      <c r="D5" s="20" t="str">
        <f ca="1">_xlfn.FORMULATEXT(D4)</f>
        <v>=CONTA.SE(Analysis_Sheet!C:C; Dashboard!C4)</v>
      </c>
      <c r="H5" s="20" t="str">
        <f ca="1">_xlfn.FORMULATEXT(H4)</f>
        <v>=CONTA.PIÙ.SE(Analysis_Sheet!C:C; G4; Analysis_Sheet!H:H; "Overdue") + CONTA.PIÙ.SE(Analysis_Sheet!C:C; G4; Analysis_Sheet!H:H; "Unpaid")</v>
      </c>
    </row>
    <row r="6" spans="1:8" x14ac:dyDescent="0.35">
      <c r="A6" s="8" t="s">
        <v>1</v>
      </c>
    </row>
    <row r="7" spans="1:8" x14ac:dyDescent="0.35">
      <c r="A7" s="8" t="s">
        <v>12</v>
      </c>
    </row>
    <row r="8" spans="1:8" x14ac:dyDescent="0.35">
      <c r="A8" s="8" t="s">
        <v>13</v>
      </c>
    </row>
    <row r="9" spans="1:8" x14ac:dyDescent="0.35">
      <c r="A9" s="8" t="s">
        <v>2</v>
      </c>
      <c r="C9" s="22" t="s">
        <v>32</v>
      </c>
      <c r="D9" s="23"/>
      <c r="G9" s="22" t="s">
        <v>28</v>
      </c>
      <c r="H9" s="23"/>
    </row>
    <row r="10" spans="1:8" x14ac:dyDescent="0.35">
      <c r="A10" s="8" t="s">
        <v>14</v>
      </c>
      <c r="C10" s="15" t="s">
        <v>27</v>
      </c>
      <c r="D10" s="15" t="s">
        <v>30</v>
      </c>
      <c r="G10" s="15" t="s">
        <v>27</v>
      </c>
      <c r="H10" s="15" t="s">
        <v>30</v>
      </c>
    </row>
    <row r="11" spans="1:8" x14ac:dyDescent="0.35">
      <c r="A11" s="8" t="s">
        <v>3</v>
      </c>
      <c r="C11" s="16" t="s">
        <v>10</v>
      </c>
      <c r="D11" s="18">
        <f>SUMIF(Analysis_Sheet!C:C,C11, Analysis_Sheet!D:D )</f>
        <v>28290.74</v>
      </c>
      <c r="G11" s="16" t="s">
        <v>10</v>
      </c>
      <c r="H11" s="18">
        <f>SUMIFS(Analysis_Sheet!D:D, Analysis_Sheet!C:C, G11, Analysis_Sheet!H:H, "Overdue") + SUMIFS(Analysis_Sheet!D:D, Analysis_Sheet!C:C, G11, Analysis_Sheet!H:H, "Unpaid")</f>
        <v>5050.8999999999996</v>
      </c>
    </row>
    <row r="12" spans="1:8" ht="58.5" customHeight="1" x14ac:dyDescent="0.35">
      <c r="A12" s="8" t="s">
        <v>15</v>
      </c>
      <c r="D12" s="20" t="str">
        <f ca="1">_xlfn.FORMULATEXT(D11)</f>
        <v>=SOMMA.SE(Analysis_Sheet!C:C;C11; Analysis_Sheet!D:D )</v>
      </c>
      <c r="H12" s="21" t="str">
        <f ca="1">_xlfn.FORMULATEXT(H11)</f>
        <v>=SOMMA.PIÙ.SE(Analysis_Sheet!D:D; Analysis_Sheet!C:C; G11; Analysis_Sheet!H:H; "Overdue") + SOMMA.PIÙ.SE(Analysis_Sheet!D:D; Analysis_Sheet!C:C; G11; Analysis_Sheet!H:H; "Unpaid")</v>
      </c>
    </row>
    <row r="13" spans="1:8" x14ac:dyDescent="0.35">
      <c r="A13" s="8" t="s">
        <v>16</v>
      </c>
    </row>
    <row r="14" spans="1:8" x14ac:dyDescent="0.35">
      <c r="A14" s="8" t="s">
        <v>4</v>
      </c>
    </row>
    <row r="15" spans="1:8" x14ac:dyDescent="0.35">
      <c r="A15" s="8" t="s">
        <v>17</v>
      </c>
    </row>
    <row r="16" spans="1:8" x14ac:dyDescent="0.35">
      <c r="A16" s="8" t="s">
        <v>18</v>
      </c>
    </row>
    <row r="17" spans="1:1" x14ac:dyDescent="0.35">
      <c r="A17" s="8" t="s">
        <v>19</v>
      </c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</sheetData>
  <mergeCells count="4">
    <mergeCell ref="C2:D2"/>
    <mergeCell ref="C9:D9"/>
    <mergeCell ref="G2:H2"/>
    <mergeCell ref="G9:H9"/>
  </mergeCells>
  <dataValidations count="1">
    <dataValidation type="list" allowBlank="1" showInputMessage="1" showErrorMessage="1" sqref="C11 G11 C4 G4" xr:uid="{DF3C6C81-16D2-4586-94DA-3AE0330AC6DC}">
      <formula1>$A$2:$A$17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93E3-7876-49B2-AB89-4C24A8E228CA}">
  <dimension ref="A1:B5"/>
  <sheetViews>
    <sheetView tabSelected="1" zoomScaleNormal="100" workbookViewId="0">
      <selection activeCell="B11" sqref="B11"/>
    </sheetView>
  </sheetViews>
  <sheetFormatPr defaultRowHeight="14.5" x14ac:dyDescent="0.35"/>
  <cols>
    <col min="1" max="1" width="17.6328125" bestFit="1" customWidth="1"/>
    <col min="2" max="2" width="22" bestFit="1" customWidth="1"/>
  </cols>
  <sheetData>
    <row r="1" spans="1:2" x14ac:dyDescent="0.35">
      <c r="A1" s="24" t="s">
        <v>23</v>
      </c>
      <c r="B1" t="s">
        <v>36</v>
      </c>
    </row>
    <row r="2" spans="1:2" x14ac:dyDescent="0.35">
      <c r="A2" s="9" t="s">
        <v>33</v>
      </c>
      <c r="B2" s="25">
        <v>15</v>
      </c>
    </row>
    <row r="3" spans="1:2" x14ac:dyDescent="0.35">
      <c r="A3" s="9" t="s">
        <v>34</v>
      </c>
      <c r="B3" s="25">
        <v>145</v>
      </c>
    </row>
    <row r="4" spans="1:2" x14ac:dyDescent="0.35">
      <c r="A4" s="9" t="s">
        <v>35</v>
      </c>
      <c r="B4" s="25">
        <v>40</v>
      </c>
    </row>
    <row r="5" spans="1:2" x14ac:dyDescent="0.35">
      <c r="A5" s="9" t="s">
        <v>37</v>
      </c>
      <c r="B5" s="25">
        <v>200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Invoice_Master_Data</vt:lpstr>
      <vt:lpstr>Analysis_Sheet</vt:lpstr>
      <vt:lpstr>Dashboard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forte</dc:creator>
  <cp:lastModifiedBy>renato forte</cp:lastModifiedBy>
  <dcterms:created xsi:type="dcterms:W3CDTF">2025-11-20T21:27:17Z</dcterms:created>
  <dcterms:modified xsi:type="dcterms:W3CDTF">2025-11-27T22:23:37Z</dcterms:modified>
</cp:coreProperties>
</file>