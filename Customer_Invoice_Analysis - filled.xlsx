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invoice-analysis-excel\"/>
    </mc:Choice>
  </mc:AlternateContent>
  <xr:revisionPtr revIDLastSave="0" documentId="13_ncr:1_{69C7B82D-312E-45A9-A5F2-858FD1880813}" xr6:coauthVersionLast="47" xr6:coauthVersionMax="47" xr10:uidLastSave="{00000000-0000-0000-0000-000000000000}"/>
  <bookViews>
    <workbookView xWindow="-110" yWindow="-110" windowWidth="19420" windowHeight="10300" firstSheet="1" activeTab="3" xr2:uid="{56643878-06B9-462D-81B7-435828026F01}"/>
  </bookViews>
  <sheets>
    <sheet name="Invoice_Master_Data" sheetId="1" r:id="rId1"/>
    <sheet name="Analysis_Sheet" sheetId="2" r:id="rId2"/>
    <sheet name="Dashboard" sheetId="3" r:id="rId3"/>
    <sheet name="Reporting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3" l="1"/>
  <c r="H4" i="3"/>
  <c r="D11" i="3"/>
  <c r="D4" i="3"/>
  <c r="D12" i="3"/>
  <c r="D5" i="3"/>
  <c r="H5" i="3"/>
  <c r="H12" i="3"/>
  <c r="I2" i="2" l="1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16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" i="2"/>
</calcChain>
</file>

<file path=xl/sharedStrings.xml><?xml version="1.0" encoding="utf-8"?>
<sst xmlns="http://schemas.openxmlformats.org/spreadsheetml/2006/main" count="481" uniqueCount="39">
  <si>
    <t>Sereni</t>
  </si>
  <si>
    <t>Villani</t>
  </si>
  <si>
    <t>Trefoloni</t>
  </si>
  <si>
    <t>Risti</t>
  </si>
  <si>
    <t>Fornari</t>
  </si>
  <si>
    <t>Customer</t>
  </si>
  <si>
    <t>Invoice Number</t>
  </si>
  <si>
    <t>Amount</t>
  </si>
  <si>
    <t>Due Date</t>
  </si>
  <si>
    <t>Scottà</t>
  </si>
  <si>
    <t>Rossi M.</t>
  </si>
  <si>
    <t>Pinca S.</t>
  </si>
  <si>
    <t>Bianchi R.</t>
  </si>
  <si>
    <t>Lanza A.</t>
  </si>
  <si>
    <t>Pinca V.</t>
  </si>
  <si>
    <t>Rossi F.</t>
  </si>
  <si>
    <t>Bianchi A.</t>
  </si>
  <si>
    <t>Lanza C.</t>
  </si>
  <si>
    <t>Marini E.</t>
  </si>
  <si>
    <t>Marini G.</t>
  </si>
  <si>
    <t>Issue Date</t>
  </si>
  <si>
    <t>29/02/2025</t>
  </si>
  <si>
    <t>Days Overdue</t>
  </si>
  <si>
    <t>Calculated Status</t>
  </si>
  <si>
    <t>Reference Date</t>
  </si>
  <si>
    <t>Payment Date</t>
  </si>
  <si>
    <t>Total Outstanding Invoice Count</t>
  </si>
  <si>
    <t>Selected Customer</t>
  </si>
  <si>
    <t>Total Outstanding Amount</t>
  </si>
  <si>
    <t>Invoice Count</t>
  </si>
  <si>
    <t>Total Amount</t>
  </si>
  <si>
    <t>Total Invoices Issued</t>
  </si>
  <si>
    <t>Total Amount Billed</t>
  </si>
  <si>
    <t>Overdue</t>
  </si>
  <si>
    <t>Paid</t>
  </si>
  <si>
    <t>Unpaid</t>
  </si>
  <si>
    <t>Count of Invoice Number</t>
  </si>
  <si>
    <t>Total</t>
  </si>
  <si>
    <t>Invoice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</si>
</sst>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#,##0.00\ &quot;€&quot;;\-#,##0.00\ &quot;€&quot;"/>
    <numFmt numFmtId="164" formatCode="_-&quot;€&quot;* #,##0.00_-;\-&quot;€&quot;* #,##0.00_-;_-&quot;€&quot;* &quot;-&quot;??_-;_-@_-"/>
    <numFmt numFmtId="165" formatCode="_-[$€-2]\ * #,##0.00_-;\-[$€-2]\ * #,##0.00_-;_-[$€-2]\ * &quot;-&quot;??_-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0"/>
      <name val="Times New Roman"/>
      <family val="1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164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7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14" fontId="7" fillId="0" borderId="1" xfId="0" applyNumberFormat="1" applyFont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wrapText="1" readingOrder="1"/>
    </xf>
    <xf numFmtId="0" fontId="3" fillId="2" borderId="1" xfId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right" vertical="center"/>
    </xf>
    <xf numFmtId="164" fontId="5" fillId="0" borderId="1" xfId="3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4" borderId="1" xfId="2" applyFont="1" applyFill="1" applyBorder="1" applyAlignment="1">
      <alignment horizontal="center"/>
    </xf>
    <xf numFmtId="0" fontId="9" fillId="5" borderId="1" xfId="5" applyFont="1" applyFill="1" applyBorder="1" applyAlignment="1">
      <alignment horizontal="center"/>
    </xf>
    <xf numFmtId="0" fontId="9" fillId="3" borderId="1" xfId="5" applyFont="1" applyBorder="1" applyAlignment="1">
      <alignment horizontal="center"/>
    </xf>
    <xf numFmtId="166" fontId="9" fillId="3" borderId="1" xfId="5" applyNumberFormat="1" applyFont="1" applyBorder="1" applyAlignment="1">
      <alignment horizontal="center"/>
    </xf>
    <xf numFmtId="0" fontId="9" fillId="3" borderId="1" xfId="5" applyNumberFormat="1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pivotButton="1"/>
    <xf numFmtId="7" fontId="0" fillId="0" borderId="0" xfId="0" applyNumberFormat="1"/>
    <xf numFmtId="0" fontId="10" fillId="0" borderId="2" xfId="2" applyFont="1" applyBorder="1" applyAlignment="1">
      <alignment horizontal="center"/>
    </xf>
    <xf numFmtId="0" fontId="10" fillId="0" borderId="3" xfId="2" applyFont="1" applyBorder="1" applyAlignment="1">
      <alignment horizontal="center"/>
    </xf>
    <xf numFmtId="164" fontId="0" fillId="0" borderId="0" xfId="0" applyNumberFormat="1"/>
  </cellXfs>
  <cellStyles count="6">
    <cellStyle name="40% - Colore 3" xfId="5" builtinId="39"/>
    <cellStyle name="Euro 6" xfId="4" xr:uid="{83F31EE4-035D-4E53-9E2D-BE7A874B8AB6}"/>
    <cellStyle name="Normale" xfId="0" builtinId="0"/>
    <cellStyle name="Normale 2 2 2" xfId="2" xr:uid="{B1495BE0-ED99-4F77-8E66-8298A5F7E8FF}"/>
    <cellStyle name="Normale_Scadenziario crediti" xfId="1" xr:uid="{35419C30-1153-464C-BF4A-8DC9B04ED9AD}"/>
    <cellStyle name="Valuta 7" xfId="3" xr:uid="{C47ED96A-AAD7-4410-AB8F-412DFEB855FF}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FFFF"/>
      <color rgb="FFFF3333"/>
      <color rgb="FF72AF2F"/>
      <color rgb="FF85CA3A"/>
      <color rgb="FFFF5D5D"/>
      <color rgb="FFFF8B8B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Invoice</a:t>
            </a:r>
            <a:r>
              <a:rPr lang="en-US" b="1" baseline="0">
                <a:solidFill>
                  <a:sysClr val="windowText" lastClr="000000"/>
                </a:solidFill>
              </a:rPr>
              <a:t> Status Percentages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9305555555555557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72AF2F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5.6396544181977253E-2"/>
              <c:y val="-1.11271507728200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FF3333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4">
              <a:lumMod val="60000"/>
              <a:lumOff val="40000"/>
            </a:schemeClr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136334208223972"/>
              <c:y val="-8.42592592592592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180"/>
      <c:depthPercent val="100"/>
      <c:rAngAx val="0"/>
      <c:perspective val="4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0"/>
        <c:ser>
          <c:idx val="0"/>
          <c:order val="0"/>
          <c:tx>
            <c:strRef>
              <c:f>Reporting!$B$1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 w="25400">
              <a:solidFill>
                <a:schemeClr val="lt1"/>
              </a:solidFill>
            </a:ln>
            <a:effectLst/>
            <a:sp3d contourW="25400">
              <a:contourClr>
                <a:schemeClr val="lt1"/>
              </a:contourClr>
            </a:sp3d>
          </c:spPr>
          <c:dPt>
            <c:idx val="0"/>
            <c:bubble3D val="0"/>
            <c:spPr>
              <a:solidFill>
                <a:srgbClr val="FF333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514-443A-A239-FE903773C8F8}"/>
              </c:ext>
            </c:extLst>
          </c:dPt>
          <c:dPt>
            <c:idx val="1"/>
            <c:bubble3D val="0"/>
            <c:spPr>
              <a:solidFill>
                <a:srgbClr val="72AF2F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514-443A-A239-FE903773C8F8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7514-443A-A239-FE903773C8F8}"/>
              </c:ext>
            </c:extLst>
          </c:dPt>
          <c:dLbls>
            <c:dLbl>
              <c:idx val="1"/>
              <c:layout>
                <c:manualLayout>
                  <c:x val="-5.6396544181977253E-2"/>
                  <c:y val="-1.11271507728200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514-443A-A239-FE903773C8F8}"/>
                </c:ext>
              </c:extLst>
            </c:dLbl>
            <c:dLbl>
              <c:idx val="2"/>
              <c:layout>
                <c:manualLayout>
                  <c:x val="0.1136334208223972"/>
                  <c:y val="-8.42592592592592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514-443A-A239-FE903773C8F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Reporting!$A$2:$A$5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Reporting!$B$2:$B$5</c:f>
              <c:numCache>
                <c:formatCode>General</c:formatCode>
                <c:ptCount val="3"/>
                <c:pt idx="0">
                  <c:v>15</c:v>
                </c:pt>
                <c:pt idx="1">
                  <c:v>145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4-443A-A239-FE903773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861111111111112"/>
          <c:y val="0.19146908719743369"/>
          <c:w val="0.20569210866752913"/>
          <c:h val="0.30555500182730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baseline="0">
                <a:solidFill>
                  <a:sysClr val="windowText" lastClr="000000"/>
                </a:solidFill>
              </a:rPr>
              <a:t>Total Amount by Status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0380047505938155E-2"/>
              <c:y val="-2.9850746268656716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0942BA4-0C50-4C5A-A197-3A03DA61886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8503562945368172E-2"/>
              <c:y val="-3.731343283582089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4A24557-3CD7-4588-A9F7-722907E42AB2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3.0878859857482184E-2"/>
              <c:y val="-5.223880597014925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83E96BF-0F40-4B6D-A449-9905BEA67D2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Reporting!$N$1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EF11-47A1-A1B7-BB56E86EE4F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EF11-47A1-A1B7-BB56E86EE4F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11-47A1-A1B7-BB56E86EE4FD}"/>
              </c:ext>
            </c:extLst>
          </c:dPt>
          <c:dLbls>
            <c:dLbl>
              <c:idx val="0"/>
              <c:layout>
                <c:manualLayout>
                  <c:x val="2.8503562945368172E-2"/>
                  <c:y val="-3.7313432835820892E-2"/>
                </c:manualLayout>
              </c:layout>
              <c:tx>
                <c:rich>
                  <a:bodyPr/>
                  <a:lstStyle/>
                  <a:p>
                    <a:fld id="{E4A24557-3CD7-4588-A9F7-722907E42AB2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F11-47A1-A1B7-BB56E86EE4FD}"/>
                </c:ext>
              </c:extLst>
            </c:dLbl>
            <c:dLbl>
              <c:idx val="1"/>
              <c:layout>
                <c:manualLayout>
                  <c:x val="3.0878859857482184E-2"/>
                  <c:y val="-5.2238805970149252E-2"/>
                </c:manualLayout>
              </c:layout>
              <c:tx>
                <c:rich>
                  <a:bodyPr/>
                  <a:lstStyle/>
                  <a:p>
                    <a:fld id="{883E96BF-0F40-4B6D-A449-9905BEA67D2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F11-47A1-A1B7-BB56E86EE4FD}"/>
                </c:ext>
              </c:extLst>
            </c:dLbl>
            <c:dLbl>
              <c:idx val="2"/>
              <c:layout>
                <c:manualLayout>
                  <c:x val="4.0380047505938155E-2"/>
                  <c:y val="-2.9850746268656716E-2"/>
                </c:manualLayout>
              </c:layout>
              <c:tx>
                <c:rich>
                  <a:bodyPr/>
                  <a:lstStyle/>
                  <a:p>
                    <a:fld id="{A0942BA4-0C50-4C5A-A197-3A03DA61886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F11-47A1-A1B7-BB56E86EE4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Reporting!$M$2:$M$5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Reporting!$N$2:$N$5</c:f>
              <c:numCache>
                <c:formatCode>"€"#,##0.00_);\("€"#,##0.00\)</c:formatCode>
                <c:ptCount val="3"/>
                <c:pt idx="0">
                  <c:v>59063.4</c:v>
                </c:pt>
                <c:pt idx="1">
                  <c:v>601412.84000000008</c:v>
                </c:pt>
                <c:pt idx="2">
                  <c:v>164252.51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1-47A1-A1B7-BB56E86EE4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78361055"/>
        <c:axId val="480384495"/>
        <c:axId val="0"/>
      </c:bar3DChart>
      <c:catAx>
        <c:axId val="47836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80384495"/>
        <c:crosses val="autoZero"/>
        <c:auto val="1"/>
        <c:lblAlgn val="ctr"/>
        <c:lblOffset val="100"/>
        <c:noMultiLvlLbl val="0"/>
      </c:catAx>
      <c:valAx>
        <c:axId val="48038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_);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83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baseline="0"/>
              <a:t>Total Amount by Customer</a:t>
            </a:r>
            <a:r>
              <a:rPr lang="it-IT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Reporting!$AA$1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Reporting!$Z$2:$Z$18</c:f>
              <c:strCache>
                <c:ptCount val="16"/>
                <c:pt idx="0">
                  <c:v>Risti</c:v>
                </c:pt>
                <c:pt idx="1">
                  <c:v>Villani</c:v>
                </c:pt>
                <c:pt idx="2">
                  <c:v>Sereni</c:v>
                </c:pt>
                <c:pt idx="3">
                  <c:v>Pinca S.</c:v>
                </c:pt>
                <c:pt idx="4">
                  <c:v>Bianchi A.</c:v>
                </c:pt>
                <c:pt idx="5">
                  <c:v>Scottà</c:v>
                </c:pt>
                <c:pt idx="6">
                  <c:v>Trefoloni</c:v>
                </c:pt>
                <c:pt idx="7">
                  <c:v>Marini E.</c:v>
                </c:pt>
                <c:pt idx="8">
                  <c:v>Lanza A.</c:v>
                </c:pt>
                <c:pt idx="9">
                  <c:v>Fornari</c:v>
                </c:pt>
                <c:pt idx="10">
                  <c:v>Pinca V.</c:v>
                </c:pt>
                <c:pt idx="11">
                  <c:v>Lanza C.</c:v>
                </c:pt>
                <c:pt idx="12">
                  <c:v>Rossi F.</c:v>
                </c:pt>
                <c:pt idx="13">
                  <c:v>Rossi M.</c:v>
                </c:pt>
                <c:pt idx="14">
                  <c:v>Bianchi R.</c:v>
                </c:pt>
                <c:pt idx="15">
                  <c:v>Marini G.</c:v>
                </c:pt>
              </c:strCache>
            </c:strRef>
          </c:cat>
          <c:val>
            <c:numRef>
              <c:f>Reporting!$AA$2:$AA$18</c:f>
              <c:numCache>
                <c:formatCode>_-"€"* #,##0.00_-;\-"€"* #,##0.00_-;_-"€"* "-"??_-;_-@_-</c:formatCode>
                <c:ptCount val="16"/>
                <c:pt idx="0">
                  <c:v>87093.3</c:v>
                </c:pt>
                <c:pt idx="1">
                  <c:v>84414</c:v>
                </c:pt>
                <c:pt idx="2">
                  <c:v>76889.8</c:v>
                </c:pt>
                <c:pt idx="3">
                  <c:v>63524</c:v>
                </c:pt>
                <c:pt idx="4">
                  <c:v>62450</c:v>
                </c:pt>
                <c:pt idx="5">
                  <c:v>61494.36</c:v>
                </c:pt>
                <c:pt idx="6">
                  <c:v>55903.979999999996</c:v>
                </c:pt>
                <c:pt idx="7">
                  <c:v>51475.8</c:v>
                </c:pt>
                <c:pt idx="8">
                  <c:v>48792.619999999995</c:v>
                </c:pt>
                <c:pt idx="9">
                  <c:v>48190</c:v>
                </c:pt>
                <c:pt idx="10">
                  <c:v>44341.479999999996</c:v>
                </c:pt>
                <c:pt idx="11">
                  <c:v>37947.1</c:v>
                </c:pt>
                <c:pt idx="12">
                  <c:v>33615.4</c:v>
                </c:pt>
                <c:pt idx="13">
                  <c:v>28290.74</c:v>
                </c:pt>
                <c:pt idx="14">
                  <c:v>23166.67</c:v>
                </c:pt>
                <c:pt idx="15">
                  <c:v>17139.5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7B-4B3D-AFAA-49FFEDA15B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71606383"/>
        <c:axId val="1871593903"/>
      </c:barChart>
      <c:catAx>
        <c:axId val="187160638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1593903"/>
        <c:crosses val="autoZero"/>
        <c:auto val="1"/>
        <c:lblAlgn val="ctr"/>
        <c:lblOffset val="100"/>
        <c:noMultiLvlLbl val="0"/>
      </c:catAx>
      <c:valAx>
        <c:axId val="1871593903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0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1606383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</xdr:row>
      <xdr:rowOff>82550</xdr:rowOff>
    </xdr:from>
    <xdr:to>
      <xdr:col>10</xdr:col>
      <xdr:colOff>247650</xdr:colOff>
      <xdr:row>17</xdr:row>
      <xdr:rowOff>146050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080866D-4932-3BAB-E70C-595520C81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266700</xdr:colOff>
      <xdr:row>0</xdr:row>
      <xdr:rowOff>88900</xdr:rowOff>
    </xdr:from>
    <xdr:to>
      <xdr:col>23</xdr:col>
      <xdr:colOff>387350</xdr:colOff>
      <xdr:row>19</xdr:row>
      <xdr:rowOff>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C4EF033-D22F-8CB2-36E4-B2FD443DC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88653</xdr:colOff>
      <xdr:row>0</xdr:row>
      <xdr:rowOff>56490</xdr:rowOff>
    </xdr:from>
    <xdr:to>
      <xdr:col>42</xdr:col>
      <xdr:colOff>279153</xdr:colOff>
      <xdr:row>29</xdr:row>
      <xdr:rowOff>139041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44642112-27CE-7FC2-EBC6-7996FB8FD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88.895709027776" createdVersion="8" refreshedVersion="8" minRefreshableVersion="3" recordCount="200" xr:uid="{9D459BF5-FA3A-4137-9408-AD19C132E9EC}">
  <cacheSource type="worksheet">
    <worksheetSource ref="A1:I201" sheet="Analysis_Sheet"/>
  </cacheSource>
  <cacheFields count="9">
    <cacheField name="Invoice Number" numFmtId="0">
      <sharedItems containsSemiMixedTypes="0" containsString="0" containsNumber="1" containsInteger="1" minValue="1" maxValue="200"/>
    </cacheField>
    <cacheField name="Issue Date" numFmtId="0">
      <sharedItems containsDate="1" containsMixedTypes="1" minDate="2024-09-12T00:00:00" maxDate="2026-04-29T00:00:00"/>
    </cacheField>
    <cacheField name="Customer" numFmtId="0">
      <sharedItems count="16">
        <s v="Rossi M."/>
        <s v="Pinca S."/>
        <s v="Sereni"/>
        <s v="Scottà"/>
        <s v="Villani"/>
        <s v="Bianchi R."/>
        <s v="Lanza A."/>
        <s v="Trefoloni"/>
        <s v="Pinca V."/>
        <s v="Risti"/>
        <s v="Rossi F."/>
        <s v="Bianchi A."/>
        <s v="Fornari"/>
        <s v="Lanza C."/>
        <s v="Marini E."/>
        <s v="Marini G."/>
      </sharedItems>
    </cacheField>
    <cacheField name="Amount" numFmtId="164">
      <sharedItems containsSemiMixedTypes="0" containsString="0" containsNumber="1" minValue="60" maxValue="23456"/>
    </cacheField>
    <cacheField name="Due Date" numFmtId="14">
      <sharedItems containsSemiMixedTypes="0" containsNonDate="0" containsDate="1" containsString="0" minDate="2025-03-01T00:00:00" maxDate="2026-07-29T00:00:00"/>
    </cacheField>
    <cacheField name="Payment Date" numFmtId="14">
      <sharedItems containsNonDate="0" containsDate="1" containsString="0" containsBlank="1" minDate="2025-03-01T00:00:00" maxDate="2026-07-21T00:00:00"/>
    </cacheField>
    <cacheField name="Reference Date" numFmtId="14">
      <sharedItems containsSemiMixedTypes="0" containsNonDate="0" containsDate="1" containsString="0" minDate="2025-11-20T00:00:00" maxDate="2025-11-21T00:00:00"/>
    </cacheField>
    <cacheField name="Calculated Status" numFmtId="0">
      <sharedItems count="3">
        <s v="Paid"/>
        <s v="Unpaid"/>
        <s v="Overdue"/>
      </sharedItems>
    </cacheField>
    <cacheField name="Days Overdue" numFmtId="0">
      <sharedItems containsSemiMixedTypes="0" containsString="0" containsNumber="1" containsInteger="1" minValue="0" maxValue="2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d v="2025-05-25T00:00:00"/>
    <x v="0"/>
    <n v="450"/>
    <d v="2025-08-25T00:00:00"/>
    <d v="2025-08-20T00:00:00"/>
    <d v="2025-11-20T00:00:00"/>
    <x v="0"/>
    <n v="0"/>
  </r>
  <r>
    <n v="2"/>
    <d v="2025-12-10T00:00:00"/>
    <x v="1"/>
    <n v="3562"/>
    <d v="2026-03-10T00:00:00"/>
    <m/>
    <d v="2025-11-20T00:00:00"/>
    <x v="1"/>
    <n v="0"/>
  </r>
  <r>
    <n v="3"/>
    <d v="2025-02-01T00:00:00"/>
    <x v="2"/>
    <n v="2700"/>
    <d v="2025-05-01T00:00:00"/>
    <d v="2025-05-15T00:00:00"/>
    <d v="2025-11-20T00:00:00"/>
    <x v="0"/>
    <n v="0"/>
  </r>
  <r>
    <n v="4"/>
    <d v="2025-06-15T00:00:00"/>
    <x v="3"/>
    <n v="399.36"/>
    <d v="2025-09-15T00:00:00"/>
    <d v="2025-10-05T00:00:00"/>
    <d v="2025-11-20T00:00:00"/>
    <x v="0"/>
    <n v="0"/>
  </r>
  <r>
    <n v="5"/>
    <d v="2025-08-05T00:00:00"/>
    <x v="4"/>
    <n v="960"/>
    <d v="2025-11-05T00:00:00"/>
    <m/>
    <d v="2025-11-20T00:00:00"/>
    <x v="2"/>
    <n v="15"/>
  </r>
  <r>
    <n v="6"/>
    <d v="2026-04-20T00:00:00"/>
    <x v="5"/>
    <n v="7916.67"/>
    <d v="2026-07-20T00:00:00"/>
    <m/>
    <d v="2025-11-20T00:00:00"/>
    <x v="1"/>
    <n v="0"/>
  </r>
  <r>
    <n v="7"/>
    <d v="2025-01-11T00:00:00"/>
    <x v="6"/>
    <n v="3360"/>
    <d v="2025-04-11T00:00:00"/>
    <d v="2025-05-11T00:00:00"/>
    <d v="2025-11-20T00:00:00"/>
    <x v="0"/>
    <n v="0"/>
  </r>
  <r>
    <n v="8"/>
    <d v="2025-10-03T00:00:00"/>
    <x v="2"/>
    <n v="1839.36"/>
    <d v="2026-01-03T00:00:00"/>
    <m/>
    <d v="2025-11-20T00:00:00"/>
    <x v="1"/>
    <n v="0"/>
  </r>
  <r>
    <n v="9"/>
    <d v="2024-12-18T00:00:00"/>
    <x v="7"/>
    <n v="477.48"/>
    <d v="2025-03-18T00:00:00"/>
    <d v="2025-03-20T00:00:00"/>
    <d v="2025-11-20T00:00:00"/>
    <x v="0"/>
    <n v="0"/>
  </r>
  <r>
    <n v="10"/>
    <d v="2025-11-02T00:00:00"/>
    <x v="8"/>
    <n v="750"/>
    <d v="2026-02-02T00:00:00"/>
    <m/>
    <d v="2025-11-20T00:00:00"/>
    <x v="1"/>
    <n v="0"/>
  </r>
  <r>
    <n v="11"/>
    <d v="2025-01-29T00:00:00"/>
    <x v="9"/>
    <n v="750"/>
    <d v="2025-04-29T00:00:00"/>
    <d v="2025-05-05T00:00:00"/>
    <d v="2025-11-20T00:00:00"/>
    <x v="0"/>
    <n v="0"/>
  </r>
  <r>
    <n v="12"/>
    <d v="2025-09-14T00:00:00"/>
    <x v="10"/>
    <n v="3284.5"/>
    <d v="2025-12-14T00:00:00"/>
    <m/>
    <d v="2025-11-20T00:00:00"/>
    <x v="1"/>
    <n v="0"/>
  </r>
  <r>
    <n v="13"/>
    <d v="2025-04-08T00:00:00"/>
    <x v="1"/>
    <n v="4320"/>
    <d v="2025-07-08T00:00:00"/>
    <d v="2025-08-01T00:00:00"/>
    <d v="2025-11-20T00:00:00"/>
    <x v="0"/>
    <n v="0"/>
  </r>
  <r>
    <n v="14"/>
    <d v="2025-10-22T00:00:00"/>
    <x v="11"/>
    <n v="9600"/>
    <d v="2026-01-22T00:00:00"/>
    <m/>
    <d v="2025-11-20T00:00:00"/>
    <x v="1"/>
    <n v="0"/>
  </r>
  <r>
    <n v="15"/>
    <d v="2026-01-17T00:00:00"/>
    <x v="4"/>
    <n v="234"/>
    <d v="2026-04-17T00:00:00"/>
    <m/>
    <d v="2025-11-20T00:00:00"/>
    <x v="1"/>
    <n v="0"/>
  </r>
  <r>
    <n v="16"/>
    <d v="2025-03-06T00:00:00"/>
    <x v="12"/>
    <n v="12000"/>
    <d v="2025-06-06T00:00:00"/>
    <d v="2025-06-10T00:00:00"/>
    <d v="2025-11-20T00:00:00"/>
    <x v="0"/>
    <n v="0"/>
  </r>
  <r>
    <n v="17"/>
    <d v="2025-12-09T00:00:00"/>
    <x v="9"/>
    <n v="123"/>
    <d v="2026-03-09T00:00:00"/>
    <m/>
    <d v="2025-11-20T00:00:00"/>
    <x v="1"/>
    <n v="0"/>
  </r>
  <r>
    <n v="18"/>
    <d v="2025-11-19T00:00:00"/>
    <x v="4"/>
    <n v="790"/>
    <d v="2026-02-19T00:00:00"/>
    <m/>
    <d v="2025-11-20T00:00:00"/>
    <x v="1"/>
    <n v="0"/>
  </r>
  <r>
    <n v="19"/>
    <d v="2025-01-21T00:00:00"/>
    <x v="2"/>
    <n v="580"/>
    <d v="2025-04-21T00:00:00"/>
    <d v="2025-04-20T00:00:00"/>
    <d v="2025-11-20T00:00:00"/>
    <x v="0"/>
    <n v="0"/>
  </r>
  <r>
    <n v="20"/>
    <d v="2025-07-04T00:00:00"/>
    <x v="13"/>
    <n v="2112.6"/>
    <d v="2025-10-04T00:00:00"/>
    <d v="2025-11-01T00:00:00"/>
    <d v="2025-11-20T00:00:00"/>
    <x v="0"/>
    <n v="0"/>
  </r>
  <r>
    <n v="21"/>
    <d v="2025-12-07T00:00:00"/>
    <x v="7"/>
    <n v="1980"/>
    <d v="2026-03-07T00:00:00"/>
    <m/>
    <d v="2025-11-20T00:00:00"/>
    <x v="1"/>
    <n v="0"/>
  </r>
  <r>
    <n v="22"/>
    <d v="2025-09-23T00:00:00"/>
    <x v="8"/>
    <n v="534"/>
    <d v="2025-12-23T00:00:00"/>
    <d v="2026-01-01T00:00:00"/>
    <d v="2025-11-20T00:00:00"/>
    <x v="0"/>
    <n v="0"/>
  </r>
  <r>
    <n v="23"/>
    <d v="2026-02-13T00:00:00"/>
    <x v="9"/>
    <n v="8600"/>
    <d v="2026-05-13T00:00:00"/>
    <m/>
    <d v="2025-11-20T00:00:00"/>
    <x v="1"/>
    <n v="0"/>
  </r>
  <r>
    <n v="24"/>
    <d v="2025-04-01T00:00:00"/>
    <x v="4"/>
    <n v="1600"/>
    <d v="2025-07-01T00:00:00"/>
    <d v="2025-07-15T00:00:00"/>
    <d v="2025-11-20T00:00:00"/>
    <x v="0"/>
    <n v="0"/>
  </r>
  <r>
    <n v="25"/>
    <d v="2025-12-17T00:00:00"/>
    <x v="12"/>
    <n v="1050"/>
    <d v="2026-03-17T00:00:00"/>
    <m/>
    <d v="2025-11-20T00:00:00"/>
    <x v="1"/>
    <n v="0"/>
  </r>
  <r>
    <n v="26"/>
    <d v="2025-02-28T00:00:00"/>
    <x v="2"/>
    <n v="4100"/>
    <d v="2025-05-28T00:00:00"/>
    <d v="2025-06-05T00:00:00"/>
    <d v="2025-11-20T00:00:00"/>
    <x v="0"/>
    <n v="0"/>
  </r>
  <r>
    <n v="27"/>
    <d v="2025-08-02T00:00:00"/>
    <x v="6"/>
    <n v="20112.62"/>
    <d v="2025-11-02T00:00:00"/>
    <d v="2025-11-10T00:00:00"/>
    <d v="2025-11-20T00:00:00"/>
    <x v="0"/>
    <n v="0"/>
  </r>
  <r>
    <n v="28"/>
    <d v="2025-10-11T00:00:00"/>
    <x v="1"/>
    <n v="1450"/>
    <d v="2026-01-11T00:00:00"/>
    <m/>
    <d v="2025-11-20T00:00:00"/>
    <x v="1"/>
    <n v="0"/>
  </r>
  <r>
    <n v="29"/>
    <d v="2025-01-04T00:00:00"/>
    <x v="14"/>
    <n v="23456"/>
    <d v="2025-04-04T00:00:00"/>
    <d v="2025-04-20T00:00:00"/>
    <d v="2025-11-20T00:00:00"/>
    <x v="0"/>
    <n v="0"/>
  </r>
  <r>
    <n v="30"/>
    <d v="2025-03-16T00:00:00"/>
    <x v="7"/>
    <n v="400"/>
    <d v="2025-06-16T00:00:00"/>
    <d v="2025-06-10T00:00:00"/>
    <d v="2025-11-20T00:00:00"/>
    <x v="0"/>
    <n v="0"/>
  </r>
  <r>
    <n v="31"/>
    <d v="2025-11-27T00:00:00"/>
    <x v="2"/>
    <n v="750"/>
    <d v="2026-02-27T00:00:00"/>
    <m/>
    <d v="2025-11-20T00:00:00"/>
    <x v="1"/>
    <n v="0"/>
  </r>
  <r>
    <n v="32"/>
    <d v="2026-01-12T00:00:00"/>
    <x v="13"/>
    <n v="3400"/>
    <d v="2026-04-12T00:00:00"/>
    <m/>
    <d v="2025-11-20T00:00:00"/>
    <x v="1"/>
    <n v="0"/>
  </r>
  <r>
    <n v="33"/>
    <d v="2025-06-05T00:00:00"/>
    <x v="4"/>
    <n v="1560"/>
    <d v="2025-09-05T00:00:00"/>
    <d v="2025-10-01T00:00:00"/>
    <d v="2025-11-20T00:00:00"/>
    <x v="0"/>
    <n v="0"/>
  </r>
  <r>
    <n v="34"/>
    <d v="2024-12-20T00:00:00"/>
    <x v="0"/>
    <n v="2100"/>
    <d v="2025-03-20T00:00:00"/>
    <d v="2025-03-20T00:00:00"/>
    <d v="2025-11-20T00:00:00"/>
    <x v="0"/>
    <n v="0"/>
  </r>
  <r>
    <n v="35"/>
    <d v="2025-08-13T00:00:00"/>
    <x v="11"/>
    <n v="9600"/>
    <d v="2025-11-13T00:00:00"/>
    <d v="2025-11-15T00:00:00"/>
    <d v="2025-11-20T00:00:00"/>
    <x v="0"/>
    <n v="0"/>
  </r>
  <r>
    <n v="36"/>
    <d v="2025-05-09T00:00:00"/>
    <x v="2"/>
    <n v="4259.9399999999996"/>
    <d v="2025-08-09T00:00:00"/>
    <d v="2025-09-15T00:00:00"/>
    <d v="2025-11-20T00:00:00"/>
    <x v="0"/>
    <n v="0"/>
  </r>
  <r>
    <n v="37"/>
    <d v="2025-07-24T00:00:00"/>
    <x v="6"/>
    <n v="230"/>
    <d v="2025-10-24T00:00:00"/>
    <d v="2025-11-01T00:00:00"/>
    <d v="2025-11-20T00:00:00"/>
    <x v="0"/>
    <n v="0"/>
  </r>
  <r>
    <n v="38"/>
    <d v="2026-02-03T00:00:00"/>
    <x v="4"/>
    <n v="3200"/>
    <d v="2026-05-03T00:00:00"/>
    <m/>
    <d v="2025-11-20T00:00:00"/>
    <x v="1"/>
    <n v="0"/>
  </r>
  <r>
    <n v="39"/>
    <d v="2024-12-15T00:00:00"/>
    <x v="7"/>
    <n v="6780"/>
    <d v="2025-03-15T00:00:00"/>
    <d v="2025-03-20T00:00:00"/>
    <d v="2025-11-20T00:00:00"/>
    <x v="0"/>
    <n v="0"/>
  </r>
  <r>
    <n v="40"/>
    <d v="2025-10-21T00:00:00"/>
    <x v="8"/>
    <n v="477.48"/>
    <d v="2026-01-21T00:00:00"/>
    <m/>
    <d v="2025-11-20T00:00:00"/>
    <x v="1"/>
    <n v="0"/>
  </r>
  <r>
    <n v="41"/>
    <d v="2025-09-10T00:00:00"/>
    <x v="9"/>
    <n v="2900"/>
    <d v="2025-12-10T00:00:00"/>
    <d v="2025-12-15T00:00:00"/>
    <d v="2025-11-20T00:00:00"/>
    <x v="0"/>
    <n v="0"/>
  </r>
  <r>
    <n v="42"/>
    <d v="2025-05-28T00:00:00"/>
    <x v="15"/>
    <n v="60"/>
    <d v="2025-08-28T00:00:00"/>
    <d v="2025-09-05T00:00:00"/>
    <d v="2025-11-20T00:00:00"/>
    <x v="0"/>
    <n v="0"/>
  </r>
  <r>
    <n v="43"/>
    <d v="2025-03-01T00:00:00"/>
    <x v="13"/>
    <n v="3284.5"/>
    <d v="2025-06-01T00:00:00"/>
    <d v="2025-06-20T00:00:00"/>
    <d v="2025-11-20T00:00:00"/>
    <x v="0"/>
    <n v="0"/>
  </r>
  <r>
    <n v="44"/>
    <d v="2026-01-07T00:00:00"/>
    <x v="4"/>
    <n v="750"/>
    <d v="2026-04-07T00:00:00"/>
    <m/>
    <d v="2025-11-20T00:00:00"/>
    <x v="1"/>
    <n v="0"/>
  </r>
  <r>
    <n v="45"/>
    <d v="2026-02-26T00:00:00"/>
    <x v="7"/>
    <n v="7356"/>
    <d v="2026-05-26T00:00:00"/>
    <m/>
    <d v="2025-11-20T00:00:00"/>
    <x v="1"/>
    <n v="0"/>
  </r>
  <r>
    <n v="46"/>
    <d v="2025-08-19T00:00:00"/>
    <x v="1"/>
    <n v="3562"/>
    <d v="2025-11-19T00:00:00"/>
    <m/>
    <d v="2025-11-20T00:00:00"/>
    <x v="2"/>
    <n v="1"/>
  </r>
  <r>
    <n v="47"/>
    <d v="2025-12-14T00:00:00"/>
    <x v="2"/>
    <n v="12000"/>
    <d v="2026-03-14T00:00:00"/>
    <m/>
    <d v="2025-11-20T00:00:00"/>
    <x v="1"/>
    <n v="0"/>
  </r>
  <r>
    <n v="48"/>
    <d v="2025-07-20T00:00:00"/>
    <x v="10"/>
    <n v="10200"/>
    <d v="2025-10-20T00:00:00"/>
    <d v="2025-11-01T00:00:00"/>
    <d v="2025-11-20T00:00:00"/>
    <x v="0"/>
    <n v="0"/>
  </r>
  <r>
    <n v="49"/>
    <d v="2026-02-10T00:00:00"/>
    <x v="4"/>
    <n v="140"/>
    <d v="2026-05-10T00:00:00"/>
    <m/>
    <d v="2025-11-20T00:00:00"/>
    <x v="1"/>
    <n v="0"/>
  </r>
  <r>
    <n v="50"/>
    <d v="2025-06-16T00:00:00"/>
    <x v="3"/>
    <n v="10900"/>
    <d v="2025-09-16T00:00:00"/>
    <d v="2025-09-20T00:00:00"/>
    <d v="2025-11-20T00:00:00"/>
    <x v="0"/>
    <n v="0"/>
  </r>
  <r>
    <n v="51"/>
    <d v="2025-04-28T00:00:00"/>
    <x v="6"/>
    <n v="2500"/>
    <d v="2025-07-28T00:00:00"/>
    <d v="2026-04-17T00:00:00"/>
    <d v="2025-11-20T00:00:00"/>
    <x v="0"/>
    <n v="0"/>
  </r>
  <r>
    <n v="52"/>
    <d v="2026-02-10T00:00:00"/>
    <x v="8"/>
    <n v="8800"/>
    <d v="2026-05-10T00:00:00"/>
    <d v="2026-01-26T00:00:00"/>
    <d v="2025-11-20T00:00:00"/>
    <x v="0"/>
    <n v="0"/>
  </r>
  <r>
    <n v="53"/>
    <d v="2024-09-12T00:00:00"/>
    <x v="14"/>
    <n v="1950"/>
    <d v="2025-03-12T00:00:00"/>
    <d v="2026-03-25T00:00:00"/>
    <d v="2025-11-20T00:00:00"/>
    <x v="0"/>
    <n v="0"/>
  </r>
  <r>
    <n v="54"/>
    <d v="2025-06-04T00:00:00"/>
    <x v="0"/>
    <n v="4789.84"/>
    <d v="2025-09-04T00:00:00"/>
    <d v="2025-11-05T00:00:00"/>
    <d v="2025-11-20T00:00:00"/>
    <x v="0"/>
    <n v="0"/>
  </r>
  <r>
    <n v="55"/>
    <d v="2025-09-17T00:00:00"/>
    <x v="7"/>
    <n v="350"/>
    <d v="2025-12-17T00:00:00"/>
    <d v="2026-05-02T00:00:00"/>
    <d v="2025-11-20T00:00:00"/>
    <x v="0"/>
    <n v="0"/>
  </r>
  <r>
    <n v="56"/>
    <d v="2026-04-22T00:00:00"/>
    <x v="5"/>
    <n v="1700"/>
    <d v="2026-07-22T00:00:00"/>
    <d v="2025-06-10T00:00:00"/>
    <d v="2025-11-20T00:00:00"/>
    <x v="0"/>
    <n v="0"/>
  </r>
  <r>
    <n v="57"/>
    <d v="2026-01-05T00:00:00"/>
    <x v="4"/>
    <n v="4600"/>
    <d v="2026-04-05T00:00:00"/>
    <d v="2025-08-28T00:00:00"/>
    <d v="2025-11-20T00:00:00"/>
    <x v="0"/>
    <n v="0"/>
  </r>
  <r>
    <n v="58"/>
    <d v="2025-10-13T00:00:00"/>
    <x v="13"/>
    <n v="550"/>
    <d v="2026-01-13T00:00:00"/>
    <d v="2025-12-20T00:00:00"/>
    <d v="2025-11-20T00:00:00"/>
    <x v="0"/>
    <n v="0"/>
  </r>
  <r>
    <n v="59"/>
    <s v="29/02/2025"/>
    <x v="2"/>
    <n v="10500"/>
    <d v="2025-05-29T00:00:00"/>
    <d v="2026-03-15T00:00:00"/>
    <d v="2025-11-20T00:00:00"/>
    <x v="0"/>
    <n v="0"/>
  </r>
  <r>
    <n v="60"/>
    <d v="2025-08-08T00:00:00"/>
    <x v="3"/>
    <n v="2500"/>
    <d v="2025-11-08T00:00:00"/>
    <m/>
    <d v="2025-11-20T00:00:00"/>
    <x v="2"/>
    <n v="12"/>
  </r>
  <r>
    <n v="61"/>
    <d v="2026-01-11T00:00:00"/>
    <x v="15"/>
    <n v="1900"/>
    <d v="2026-04-11T00:00:00"/>
    <d v="2026-01-01T00:00:00"/>
    <d v="2025-11-20T00:00:00"/>
    <x v="0"/>
    <n v="0"/>
  </r>
  <r>
    <n v="62"/>
    <d v="2025-12-20T00:00:00"/>
    <x v="9"/>
    <n v="8400"/>
    <d v="2026-03-20T00:00:00"/>
    <d v="2026-07-20T00:00:00"/>
    <d v="2025-11-20T00:00:00"/>
    <x v="0"/>
    <n v="0"/>
  </r>
  <r>
    <n v="63"/>
    <d v="2025-11-07T00:00:00"/>
    <x v="1"/>
    <n v="3200"/>
    <d v="2026-02-07T00:00:00"/>
    <d v="2026-05-01T00:00:00"/>
    <d v="2025-11-20T00:00:00"/>
    <x v="0"/>
    <n v="0"/>
  </r>
  <r>
    <n v="64"/>
    <d v="2025-07-16T00:00:00"/>
    <x v="10"/>
    <n v="4700"/>
    <d v="2025-10-16T00:00:00"/>
    <d v="2026-03-01T00:00:00"/>
    <d v="2025-11-20T00:00:00"/>
    <x v="0"/>
    <n v="0"/>
  </r>
  <r>
    <n v="65"/>
    <d v="2026-02-02T00:00:00"/>
    <x v="4"/>
    <n v="1150"/>
    <d v="2026-05-02T00:00:00"/>
    <d v="2025-09-10T00:00:00"/>
    <d v="2025-11-20T00:00:00"/>
    <x v="0"/>
    <n v="0"/>
  </r>
  <r>
    <n v="66"/>
    <d v="2025-03-14T00:00:00"/>
    <x v="12"/>
    <n v="5300"/>
    <d v="2025-06-14T00:00:00"/>
    <d v="2025-11-15T00:00:00"/>
    <d v="2025-11-20T00:00:00"/>
    <x v="0"/>
    <n v="0"/>
  </r>
  <r>
    <n v="67"/>
    <d v="2025-05-21T00:00:00"/>
    <x v="11"/>
    <n v="15000"/>
    <d v="2025-08-21T00:00:00"/>
    <d v="2026-03-10T00:00:00"/>
    <d v="2025-11-20T00:00:00"/>
    <x v="0"/>
    <n v="0"/>
  </r>
  <r>
    <n v="68"/>
    <d v="2025-09-10T00:00:00"/>
    <x v="7"/>
    <n v="650"/>
    <d v="2025-12-10T00:00:00"/>
    <d v="2026-01-15T00:00:00"/>
    <d v="2025-11-20T00:00:00"/>
    <x v="0"/>
    <n v="0"/>
  </r>
  <r>
    <n v="69"/>
    <d v="2025-10-26T00:00:00"/>
    <x v="6"/>
    <n v="2800"/>
    <d v="2026-01-26T00:00:00"/>
    <d v="2025-03-01T00:00:00"/>
    <d v="2025-11-20T00:00:00"/>
    <x v="0"/>
    <n v="0"/>
  </r>
  <r>
    <n v="70"/>
    <d v="2025-12-03T00:00:00"/>
    <x v="8"/>
    <n v="1850"/>
    <d v="2026-03-03T00:00:00"/>
    <d v="2025-11-10T00:00:00"/>
    <d v="2025-11-20T00:00:00"/>
    <x v="0"/>
    <n v="0"/>
  </r>
  <r>
    <n v="71"/>
    <d v="2025-04-07T00:00:00"/>
    <x v="2"/>
    <n v="7100"/>
    <d v="2025-09-07T00:00:00"/>
    <d v="2026-01-18T00:00:00"/>
    <d v="2025-11-20T00:00:00"/>
    <x v="0"/>
    <n v="0"/>
  </r>
  <r>
    <n v="72"/>
    <d v="2026-04-19T00:00:00"/>
    <x v="3"/>
    <n v="2600"/>
    <d v="2026-07-19T00:00:00"/>
    <d v="2026-03-15T00:00:00"/>
    <d v="2025-11-20T00:00:00"/>
    <x v="0"/>
    <n v="0"/>
  </r>
  <r>
    <n v="73"/>
    <d v="2025-01-01T00:00:00"/>
    <x v="14"/>
    <n v="4400"/>
    <d v="2025-04-01T00:00:00"/>
    <d v="2026-02-10T00:00:00"/>
    <d v="2025-11-20T00:00:00"/>
    <x v="0"/>
    <n v="0"/>
  </r>
  <r>
    <n v="74"/>
    <d v="2025-11-11T00:00:00"/>
    <x v="9"/>
    <n v="9500"/>
    <d v="2026-02-11T00:00:00"/>
    <d v="2025-03-01T00:00:00"/>
    <d v="2025-11-20T00:00:00"/>
    <x v="0"/>
    <n v="0"/>
  </r>
  <r>
    <n v="75"/>
    <d v="2025-06-28T00:00:00"/>
    <x v="4"/>
    <n v="3300"/>
    <d v="2025-09-28T00:00:00"/>
    <d v="2025-11-20T00:00:00"/>
    <d v="2025-11-20T00:00:00"/>
    <x v="0"/>
    <n v="0"/>
  </r>
  <r>
    <n v="76"/>
    <d v="2025-08-09T00:00:00"/>
    <x v="12"/>
    <n v="1550"/>
    <d v="2025-11-09T00:00:00"/>
    <d v="2025-08-25T00:00:00"/>
    <d v="2025-11-20T00:00:00"/>
    <x v="0"/>
    <n v="0"/>
  </r>
  <r>
    <n v="77"/>
    <d v="2026-02-04T00:00:00"/>
    <x v="1"/>
    <n v="5900"/>
    <d v="2026-05-04T00:00:00"/>
    <d v="2026-05-15T00:00:00"/>
    <d v="2025-11-20T00:00:00"/>
    <x v="0"/>
    <n v="0"/>
  </r>
  <r>
    <n v="78"/>
    <d v="2025-10-18T00:00:00"/>
    <x v="7"/>
    <n v="2750"/>
    <d v="2026-01-18T00:00:00"/>
    <m/>
    <d v="2025-11-20T00:00:00"/>
    <x v="1"/>
    <n v="0"/>
  </r>
  <r>
    <n v="79"/>
    <d v="2024-12-01T00:00:00"/>
    <x v="0"/>
    <n v="1000"/>
    <d v="2025-03-01T00:00:00"/>
    <d v="2026-05-25T00:00:00"/>
    <d v="2025-11-20T00:00:00"/>
    <x v="0"/>
    <n v="0"/>
  </r>
  <r>
    <n v="80"/>
    <d v="2025-07-23T00:00:00"/>
    <x v="13"/>
    <n v="6800"/>
    <d v="2025-10-23T00:00:00"/>
    <d v="2026-03-20T00:00:00"/>
    <d v="2025-11-20T00:00:00"/>
    <x v="0"/>
    <n v="0"/>
  </r>
  <r>
    <n v="81"/>
    <d v="2026-04-15T00:00:00"/>
    <x v="2"/>
    <n v="1890.5"/>
    <d v="2026-07-15T00:00:00"/>
    <d v="2025-10-20T00:00:00"/>
    <d v="2025-11-20T00:00:00"/>
    <x v="0"/>
    <n v="0"/>
  </r>
  <r>
    <n v="82"/>
    <d v="2026-03-06T00:00:00"/>
    <x v="5"/>
    <n v="4100"/>
    <d v="2026-03-06T00:00:00"/>
    <d v="2026-03-10T00:00:00"/>
    <d v="2025-11-20T00:00:00"/>
    <x v="0"/>
    <n v="0"/>
  </r>
  <r>
    <n v="83"/>
    <d v="2025-06-20T00:00:00"/>
    <x v="4"/>
    <n v="750"/>
    <d v="2025-09-20T00:00:00"/>
    <d v="2025-06-01T00:00:00"/>
    <d v="2025-11-20T00:00:00"/>
    <x v="0"/>
    <n v="0"/>
  </r>
  <r>
    <n v="84"/>
    <d v="2026-01-17T00:00:00"/>
    <x v="8"/>
    <n v="2980"/>
    <d v="2026-04-17T00:00:00"/>
    <d v="2025-07-01T00:00:00"/>
    <d v="2025-11-20T00:00:00"/>
    <x v="0"/>
    <n v="0"/>
  </r>
  <r>
    <n v="85"/>
    <d v="2025-08-29T00:00:00"/>
    <x v="15"/>
    <n v="1250"/>
    <d v="2025-11-29T00:00:00"/>
    <d v="2025-09-01T00:00:00"/>
    <d v="2025-11-20T00:00:00"/>
    <x v="0"/>
    <n v="0"/>
  </r>
  <r>
    <n v="86"/>
    <d v="2025-09-14T00:00:00"/>
    <x v="9"/>
    <n v="9870.2999999999993"/>
    <d v="2025-12-14T00:00:00"/>
    <d v="2026-04-10T00:00:00"/>
    <d v="2025-11-20T00:00:00"/>
    <x v="0"/>
    <n v="0"/>
  </r>
  <r>
    <n v="87"/>
    <d v="2025-04-08T00:00:00"/>
    <x v="3"/>
    <n v="645"/>
    <d v="2025-07-08T00:00:00"/>
    <d v="2026-02-25T00:00:00"/>
    <d v="2025-11-20T00:00:00"/>
    <x v="0"/>
    <n v="0"/>
  </r>
  <r>
    <n v="88"/>
    <d v="2025-11-03T00:00:00"/>
    <x v="12"/>
    <n v="3200"/>
    <d v="2026-02-03T00:00:00"/>
    <d v="2025-06-10T00:00:00"/>
    <d v="2025-11-20T00:00:00"/>
    <x v="0"/>
    <n v="0"/>
  </r>
  <r>
    <n v="89"/>
    <d v="2025-08-24T00:00:00"/>
    <x v="2"/>
    <n v="150"/>
    <d v="2025-11-24T00:00:00"/>
    <d v="2026-01-01T00:00:00"/>
    <d v="2025-11-20T00:00:00"/>
    <x v="0"/>
    <n v="0"/>
  </r>
  <r>
    <n v="90"/>
    <d v="2025-02-10T00:00:00"/>
    <x v="7"/>
    <n v="11230"/>
    <d v="2025-05-10T00:00:00"/>
    <d v="2026-03-20T00:00:00"/>
    <d v="2025-11-20T00:00:00"/>
    <x v="0"/>
    <n v="0"/>
  </r>
  <r>
    <n v="91"/>
    <d v="2026-01-06T00:00:00"/>
    <x v="11"/>
    <n v="4500"/>
    <d v="2026-04-06T00:00:00"/>
    <d v="2026-03-15T00:00:00"/>
    <d v="2025-11-20T00:00:00"/>
    <x v="0"/>
    <n v="0"/>
  </r>
  <r>
    <n v="92"/>
    <d v="2025-10-19T00:00:00"/>
    <x v="6"/>
    <n v="7890"/>
    <d v="2026-01-19T00:00:00"/>
    <d v="2026-02-01T00:00:00"/>
    <d v="2025-11-20T00:00:00"/>
    <x v="0"/>
    <n v="0"/>
  </r>
  <r>
    <n v="93"/>
    <d v="2025-07-01T00:00:00"/>
    <x v="1"/>
    <n v="1050"/>
    <d v="2025-10-01T00:00:00"/>
    <d v="2026-04-01T00:00:00"/>
    <d v="2025-11-20T00:00:00"/>
    <x v="0"/>
    <n v="0"/>
  </r>
  <r>
    <n v="94"/>
    <d v="2025-12-15T00:00:00"/>
    <x v="10"/>
    <n v="3450.9"/>
    <d v="2026-03-15T00:00:00"/>
    <d v="2026-03-15T00:00:00"/>
    <d v="2025-11-20T00:00:00"/>
    <x v="0"/>
    <n v="0"/>
  </r>
  <r>
    <n v="95"/>
    <d v="2025-05-09T00:00:00"/>
    <x v="4"/>
    <n v="2150"/>
    <d v="2025-08-09T00:00:00"/>
    <d v="2025-11-20T00:00:00"/>
    <d v="2025-11-20T00:00:00"/>
    <x v="0"/>
    <n v="0"/>
  </r>
  <r>
    <n v="96"/>
    <d v="2025-09-04T00:00:00"/>
    <x v="14"/>
    <n v="99.5"/>
    <d v="2025-12-04T00:00:00"/>
    <d v="2026-01-20T00:00:00"/>
    <d v="2025-11-20T00:00:00"/>
    <x v="0"/>
    <n v="0"/>
  </r>
  <r>
    <n v="97"/>
    <d v="2026-04-18T00:00:00"/>
    <x v="2"/>
    <n v="12000"/>
    <d v="2026-07-18T00:00:00"/>
    <d v="2026-03-10T00:00:00"/>
    <d v="2025-11-20T00:00:00"/>
    <x v="0"/>
    <n v="0"/>
  </r>
  <r>
    <n v="98"/>
    <d v="2025-01-23T00:00:00"/>
    <x v="3"/>
    <n v="350"/>
    <d v="2025-04-23T00:00:00"/>
    <d v="2026-01-15T00:00:00"/>
    <d v="2025-11-20T00:00:00"/>
    <x v="0"/>
    <n v="0"/>
  </r>
  <r>
    <n v="99"/>
    <d v="2025-12-07T00:00:00"/>
    <x v="9"/>
    <n v="6700"/>
    <d v="2026-03-07T00:00:00"/>
    <d v="2025-06-01T00:00:00"/>
    <d v="2025-11-20T00:00:00"/>
    <x v="0"/>
    <n v="0"/>
  </r>
  <r>
    <n v="100"/>
    <d v="2026-02-21T00:00:00"/>
    <x v="12"/>
    <n v="1450"/>
    <d v="2026-05-21T00:00:00"/>
    <d v="2025-09-01T00:00:00"/>
    <d v="2025-11-20T00:00:00"/>
    <x v="0"/>
    <n v="0"/>
  </r>
  <r>
    <n v="101"/>
    <d v="2025-07-05T00:00:00"/>
    <x v="8"/>
    <n v="8200"/>
    <d v="2025-10-05T00:00:00"/>
    <d v="2025-09-20T00:00:00"/>
    <d v="2025-11-20T00:00:00"/>
    <x v="0"/>
    <n v="0"/>
  </r>
  <r>
    <n v="102"/>
    <d v="2025-08-29T00:00:00"/>
    <x v="7"/>
    <n v="500"/>
    <d v="2025-11-29T00:00:00"/>
    <d v="2026-04-15T00:00:00"/>
    <d v="2025-11-20T00:00:00"/>
    <x v="0"/>
    <n v="0"/>
  </r>
  <r>
    <n v="103"/>
    <d v="2026-01-11T00:00:00"/>
    <x v="13"/>
    <n v="3750"/>
    <d v="2026-04-11T00:00:00"/>
    <m/>
    <d v="2025-11-20T00:00:00"/>
    <x v="1"/>
    <n v="0"/>
  </r>
  <r>
    <n v="104"/>
    <d v="2025-12-14T00:00:00"/>
    <x v="4"/>
    <n v="2900"/>
    <d v="2026-03-14T00:00:00"/>
    <d v="2025-09-24T00:00:00"/>
    <d v="2025-11-20T00:00:00"/>
    <x v="0"/>
    <n v="0"/>
  </r>
  <r>
    <n v="105"/>
    <d v="2026-02-03T00:00:00"/>
    <x v="0"/>
    <n v="1600"/>
    <d v="2026-05-03T00:00:00"/>
    <m/>
    <d v="2025-11-20T00:00:00"/>
    <x v="1"/>
    <n v="0"/>
  </r>
  <r>
    <n v="106"/>
    <d v="2025-06-16T00:00:00"/>
    <x v="5"/>
    <n v="450"/>
    <d v="2025-09-16T00:00:00"/>
    <d v="2026-03-10T00:00:00"/>
    <d v="2025-11-20T00:00:00"/>
    <x v="0"/>
    <n v="0"/>
  </r>
  <r>
    <n v="107"/>
    <d v="2025-10-01T00:00:00"/>
    <x v="15"/>
    <n v="1830"/>
    <d v="2026-01-01T00:00:00"/>
    <m/>
    <d v="2025-11-20T00:00:00"/>
    <x v="1"/>
    <n v="0"/>
  </r>
  <r>
    <n v="108"/>
    <d v="2025-02-27T00:00:00"/>
    <x v="1"/>
    <n v="9000"/>
    <d v="2025-05-27T00:00:00"/>
    <d v="2026-05-10T00:00:00"/>
    <d v="2025-11-20T00:00:00"/>
    <x v="0"/>
    <n v="0"/>
  </r>
  <r>
    <n v="109"/>
    <d v="2025-11-19T00:00:00"/>
    <x v="2"/>
    <n v="125"/>
    <d v="2026-02-19T00:00:00"/>
    <d v="2025-09-01T00:00:00"/>
    <d v="2025-11-20T00:00:00"/>
    <x v="0"/>
    <n v="0"/>
  </r>
  <r>
    <n v="110"/>
    <d v="2025-09-12T00:00:00"/>
    <x v="3"/>
    <n v="5100"/>
    <d v="2025-12-12T00:00:00"/>
    <d v="2025-08-20T00:00:00"/>
    <d v="2025-11-20T00:00:00"/>
    <x v="0"/>
    <n v="0"/>
  </r>
  <r>
    <n v="111"/>
    <d v="2025-01-08T00:00:00"/>
    <x v="9"/>
    <n v="1100"/>
    <d v="2025-04-08T00:00:00"/>
    <d v="2026-05-20T00:00:00"/>
    <d v="2025-11-20T00:00:00"/>
    <x v="0"/>
    <n v="0"/>
  </r>
  <r>
    <n v="112"/>
    <d v="2025-06-04T00:00:00"/>
    <x v="4"/>
    <n v="15000"/>
    <d v="2025-09-04T00:00:00"/>
    <m/>
    <d v="2025-11-20T00:00:00"/>
    <x v="2"/>
    <n v="77"/>
  </r>
  <r>
    <n v="113"/>
    <d v="2026-04-21T00:00:00"/>
    <x v="12"/>
    <n v="2340"/>
    <d v="2026-07-21T00:00:00"/>
    <m/>
    <d v="2025-11-20T00:00:00"/>
    <x v="1"/>
    <n v="0"/>
  </r>
  <r>
    <n v="114"/>
    <d v="2026-03-15T00:00:00"/>
    <x v="8"/>
    <n v="7900"/>
    <d v="2026-06-15T00:00:00"/>
    <d v="2025-12-20T00:00:00"/>
    <d v="2025-11-20T00:00:00"/>
    <x v="0"/>
    <n v="0"/>
  </r>
  <r>
    <n v="115"/>
    <d v="2025-08-03T00:00:00"/>
    <x v="7"/>
    <n v="400"/>
    <d v="2025-11-03T00:00:00"/>
    <d v="2026-04-15T00:00:00"/>
    <d v="2025-11-20T00:00:00"/>
    <x v="0"/>
    <n v="0"/>
  </r>
  <r>
    <n v="116"/>
    <d v="2025-12-28T00:00:00"/>
    <x v="6"/>
    <n v="1700"/>
    <d v="2026-03-28T00:00:00"/>
    <d v="2025-06-01T00:00:00"/>
    <d v="2025-11-20T00:00:00"/>
    <x v="0"/>
    <n v="0"/>
  </r>
  <r>
    <n v="117"/>
    <d v="2025-10-09T00:00:00"/>
    <x v="10"/>
    <n v="5600"/>
    <d v="2026-01-09T00:00:00"/>
    <m/>
    <d v="2025-11-20T00:00:00"/>
    <x v="1"/>
    <n v="0"/>
  </r>
  <r>
    <n v="118"/>
    <d v="2026-02-20T00:00:00"/>
    <x v="11"/>
    <n v="9200"/>
    <d v="2026-05-20T00:00:00"/>
    <d v="2025-11-15T00:00:00"/>
    <d v="2025-11-20T00:00:00"/>
    <x v="0"/>
    <n v="0"/>
  </r>
  <r>
    <n v="119"/>
    <d v="2025-04-01T00:00:00"/>
    <x v="2"/>
    <n v="3100"/>
    <d v="2025-07-01T00:00:00"/>
    <d v="2026-03-20T00:00:00"/>
    <d v="2025-11-20T00:00:00"/>
    <x v="0"/>
    <n v="0"/>
  </r>
  <r>
    <n v="120"/>
    <d v="2026-01-14T00:00:00"/>
    <x v="14"/>
    <n v="1200"/>
    <d v="2026-04-14T00:00:00"/>
    <d v="2025-07-01T00:00:00"/>
    <d v="2025-11-20T00:00:00"/>
    <x v="0"/>
    <n v="0"/>
  </r>
  <r>
    <n v="121"/>
    <d v="2025-11-26T00:00:00"/>
    <x v="4"/>
    <n v="800"/>
    <d v="2026-02-26T00:00:00"/>
    <d v="2025-11-20T00:00:00"/>
    <d v="2025-11-20T00:00:00"/>
    <x v="0"/>
    <n v="0"/>
  </r>
  <r>
    <n v="122"/>
    <d v="2025-09-10T00:00:00"/>
    <x v="9"/>
    <n v="5500"/>
    <d v="2025-12-10T00:00:00"/>
    <m/>
    <d v="2025-11-20T00:00:00"/>
    <x v="1"/>
    <n v="0"/>
  </r>
  <r>
    <n v="123"/>
    <d v="2026-01-05T00:00:00"/>
    <x v="1"/>
    <n v="12500"/>
    <d v="2026-04-05T00:00:00"/>
    <d v="2026-05-20T00:00:00"/>
    <d v="2025-11-20T00:00:00"/>
    <x v="0"/>
    <n v="0"/>
  </r>
  <r>
    <n v="124"/>
    <d v="2025-08-23T00:00:00"/>
    <x v="3"/>
    <n v="4800"/>
    <d v="2025-11-23T00:00:00"/>
    <d v="2025-08-01T00:00:00"/>
    <d v="2025-11-20T00:00:00"/>
    <x v="0"/>
    <n v="0"/>
  </r>
  <r>
    <n v="125"/>
    <d v="2025-12-17T00:00:00"/>
    <x v="7"/>
    <n v="1950"/>
    <d v="2026-03-17T00:00:00"/>
    <m/>
    <d v="2025-11-20T00:00:00"/>
    <x v="1"/>
    <n v="0"/>
  </r>
  <r>
    <n v="126"/>
    <d v="2025-06-19T00:00:00"/>
    <x v="13"/>
    <n v="6000"/>
    <d v="2025-09-19T00:00:00"/>
    <d v="2025-12-10T00:00:00"/>
    <d v="2025-11-20T00:00:00"/>
    <x v="0"/>
    <n v="0"/>
  </r>
  <r>
    <n v="127"/>
    <d v="2024-12-08T00:00:00"/>
    <x v="0"/>
    <n v="300"/>
    <d v="2025-03-08T00:00:00"/>
    <d v="2026-02-15T00:00:00"/>
    <d v="2025-11-20T00:00:00"/>
    <x v="0"/>
    <n v="0"/>
  </r>
  <r>
    <n v="128"/>
    <d v="2025-11-02T00:00:00"/>
    <x v="5"/>
    <n v="250"/>
    <d v="2026-02-02T00:00:00"/>
    <d v="2026-03-10T00:00:00"/>
    <d v="2025-11-20T00:00:00"/>
    <x v="0"/>
    <n v="0"/>
  </r>
  <r>
    <n v="129"/>
    <d v="2026-01-20T00:00:00"/>
    <x v="4"/>
    <n v="8800"/>
    <d v="2026-04-20T00:00:00"/>
    <d v="2026-07-20T00:00:00"/>
    <d v="2025-11-20T00:00:00"/>
    <x v="0"/>
    <n v="0"/>
  </r>
  <r>
    <n v="130"/>
    <d v="2025-04-06T00:00:00"/>
    <x v="15"/>
    <n v="1100"/>
    <d v="2025-07-06T00:00:00"/>
    <d v="2026-04-20T00:00:00"/>
    <d v="2025-11-20T00:00:00"/>
    <x v="0"/>
    <n v="0"/>
  </r>
  <r>
    <n v="131"/>
    <d v="2026-02-13T00:00:00"/>
    <x v="12"/>
    <n v="4300"/>
    <d v="2026-05-13T00:00:00"/>
    <d v="2026-05-15T00:00:00"/>
    <d v="2025-11-20T00:00:00"/>
    <x v="0"/>
    <n v="0"/>
  </r>
  <r>
    <n v="132"/>
    <d v="2025-10-18T00:00:00"/>
    <x v="8"/>
    <n v="900"/>
    <d v="2026-01-18T00:00:00"/>
    <d v="2026-03-10T00:00:00"/>
    <d v="2025-11-20T00:00:00"/>
    <x v="0"/>
    <n v="0"/>
  </r>
  <r>
    <n v="133"/>
    <d v="2025-07-24T00:00:00"/>
    <x v="2"/>
    <n v="1750"/>
    <d v="2025-10-24T00:00:00"/>
    <d v="2025-06-01T00:00:00"/>
    <d v="2025-11-20T00:00:00"/>
    <x v="0"/>
    <n v="0"/>
  </r>
  <r>
    <n v="134"/>
    <d v="2026-01-07T00:00:00"/>
    <x v="9"/>
    <n v="2900"/>
    <d v="2026-04-07T00:00:00"/>
    <d v="2026-01-15T00:00:00"/>
    <d v="2025-11-20T00:00:00"/>
    <x v="0"/>
    <n v="0"/>
  </r>
  <r>
    <n v="135"/>
    <d v="2025-12-29T00:00:00"/>
    <x v="7"/>
    <n v="6200"/>
    <d v="2026-03-29T00:00:00"/>
    <d v="2025-11-10T00:00:00"/>
    <d v="2025-11-20T00:00:00"/>
    <x v="0"/>
    <n v="0"/>
  </r>
  <r>
    <n v="136"/>
    <d v="2025-08-10T00:00:00"/>
    <x v="6"/>
    <n v="3600"/>
    <d v="2025-11-10T00:00:00"/>
    <d v="2026-03-10T00:00:00"/>
    <d v="2025-11-20T00:00:00"/>
    <x v="0"/>
    <n v="0"/>
  </r>
  <r>
    <n v="137"/>
    <d v="2026-02-04T00:00:00"/>
    <x v="10"/>
    <n v="1500"/>
    <d v="2026-05-04T00:00:00"/>
    <d v="2026-05-10T00:00:00"/>
    <d v="2025-11-20T00:00:00"/>
    <x v="0"/>
    <n v="0"/>
  </r>
  <r>
    <n v="138"/>
    <d v="2025-09-12T00:00:00"/>
    <x v="11"/>
    <n v="4900"/>
    <d v="2026-03-12T00:00:00"/>
    <d v="2025-11-20T00:00:00"/>
    <d v="2025-11-20T00:00:00"/>
    <x v="0"/>
    <n v="0"/>
  </r>
  <r>
    <n v="139"/>
    <d v="2025-03-01T00:00:00"/>
    <x v="4"/>
    <n v="2100"/>
    <d v="2025-06-01T00:00:00"/>
    <d v="2026-01-10T00:00:00"/>
    <d v="2025-11-20T00:00:00"/>
    <x v="0"/>
    <n v="0"/>
  </r>
  <r>
    <n v="140"/>
    <d v="2025-08-17T00:00:00"/>
    <x v="14"/>
    <n v="7300"/>
    <d v="2025-11-17T00:00:00"/>
    <d v="2026-03-15T00:00:00"/>
    <d v="2025-11-20T00:00:00"/>
    <x v="0"/>
    <n v="0"/>
  </r>
  <r>
    <n v="141"/>
    <d v="2025-05-21T00:00:00"/>
    <x v="1"/>
    <n v="180"/>
    <d v="2025-08-21T00:00:00"/>
    <d v="2025-07-01T00:00:00"/>
    <d v="2025-11-20T00:00:00"/>
    <x v="0"/>
    <n v="0"/>
  </r>
  <r>
    <n v="142"/>
    <d v="2025-10-15T00:00:00"/>
    <x v="3"/>
    <n v="5400"/>
    <d v="2026-01-15T00:00:00"/>
    <d v="2026-03-15T00:00:00"/>
    <d v="2025-11-20T00:00:00"/>
    <x v="0"/>
    <n v="0"/>
  </r>
  <r>
    <n v="143"/>
    <d v="2026-04-28T00:00:00"/>
    <x v="2"/>
    <n v="1350"/>
    <d v="2026-07-28T00:00:00"/>
    <m/>
    <d v="2025-11-20T00:00:00"/>
    <x v="1"/>
    <n v="0"/>
  </r>
  <r>
    <n v="144"/>
    <d v="2025-02-03T00:00:00"/>
    <x v="9"/>
    <n v="9800"/>
    <d v="2025-05-03T00:00:00"/>
    <d v="2026-05-20T00:00:00"/>
    <d v="2025-11-20T00:00:00"/>
    <x v="0"/>
    <n v="0"/>
  </r>
  <r>
    <n v="145"/>
    <d v="2025-07-16T00:00:00"/>
    <x v="12"/>
    <n v="450"/>
    <d v="2025-10-16T00:00:00"/>
    <d v="2026-05-20T00:00:00"/>
    <d v="2025-11-20T00:00:00"/>
    <x v="0"/>
    <n v="0"/>
  </r>
  <r>
    <n v="146"/>
    <d v="2025-11-08T00:00:00"/>
    <x v="7"/>
    <n v="2700"/>
    <d v="2026-02-08T00:00:00"/>
    <d v="2026-05-01T00:00:00"/>
    <d v="2025-11-20T00:00:00"/>
    <x v="0"/>
    <n v="0"/>
  </r>
  <r>
    <n v="147"/>
    <d v="2025-09-23T00:00:00"/>
    <x v="8"/>
    <n v="6500"/>
    <d v="2025-12-23T00:00:00"/>
    <d v="2026-03-15T00:00:00"/>
    <d v="2025-11-20T00:00:00"/>
    <x v="0"/>
    <n v="0"/>
  </r>
  <r>
    <n v="148"/>
    <d v="2025-12-11T00:00:00"/>
    <x v="13"/>
    <n v="3900"/>
    <d v="2026-03-11T00:00:00"/>
    <d v="2025-11-20T00:00:00"/>
    <d v="2025-11-20T00:00:00"/>
    <x v="0"/>
    <n v="0"/>
  </r>
  <r>
    <n v="149"/>
    <d v="2026-04-20T00:00:00"/>
    <x v="4"/>
    <n v="8100"/>
    <d v="2026-07-20T00:00:00"/>
    <d v="2026-03-15T00:00:00"/>
    <d v="2025-11-20T00:00:00"/>
    <x v="0"/>
    <n v="0"/>
  </r>
  <r>
    <n v="150"/>
    <d v="2025-06-05T00:00:00"/>
    <x v="0"/>
    <n v="12000"/>
    <d v="2025-09-05T00:00:00"/>
    <d v="2025-09-20T00:00:00"/>
    <d v="2025-11-20T00:00:00"/>
    <x v="0"/>
    <n v="0"/>
  </r>
  <r>
    <n v="151"/>
    <d v="2026-01-17T00:00:00"/>
    <x v="5"/>
    <n v="2200"/>
    <d v="2026-04-17T00:00:00"/>
    <d v="2025-05-01T00:00:00"/>
    <d v="2025-11-20T00:00:00"/>
    <x v="0"/>
    <n v="0"/>
  </r>
  <r>
    <n v="152"/>
    <d v="2026-02-12T00:00:00"/>
    <x v="15"/>
    <n v="1400"/>
    <d v="2026-05-12T00:00:00"/>
    <d v="2026-03-10T00:00:00"/>
    <d v="2025-11-20T00:00:00"/>
    <x v="0"/>
    <n v="0"/>
  </r>
  <r>
    <n v="153"/>
    <d v="2025-05-25T00:00:00"/>
    <x v="3"/>
    <n v="7700"/>
    <d v="2025-08-25T00:00:00"/>
    <d v="2025-05-20T00:00:00"/>
    <d v="2025-11-20T00:00:00"/>
    <x v="0"/>
    <n v="0"/>
  </r>
  <r>
    <n v="154"/>
    <d v="2025-12-10T00:00:00"/>
    <x v="1"/>
    <n v="3500"/>
    <d v="2026-03-10T00:00:00"/>
    <d v="2025-09-20T00:00:00"/>
    <d v="2025-11-20T00:00:00"/>
    <x v="0"/>
    <n v="0"/>
  </r>
  <r>
    <n v="155"/>
    <d v="2025-02-01T00:00:00"/>
    <x v="2"/>
    <n v="9000"/>
    <d v="2025-05-01T00:00:00"/>
    <m/>
    <d v="2025-11-20T00:00:00"/>
    <x v="2"/>
    <n v="203"/>
  </r>
  <r>
    <n v="156"/>
    <d v="2025-06-15T00:00:00"/>
    <x v="9"/>
    <n v="1600"/>
    <d v="2025-09-15T00:00:00"/>
    <m/>
    <d v="2025-11-20T00:00:00"/>
    <x v="2"/>
    <n v="66"/>
  </r>
  <r>
    <n v="157"/>
    <d v="2025-08-05T00:00:00"/>
    <x v="12"/>
    <n v="4600"/>
    <d v="2025-11-05T00:00:00"/>
    <d v="2025-04-25T00:00:00"/>
    <d v="2025-11-20T00:00:00"/>
    <x v="0"/>
    <n v="0"/>
  </r>
  <r>
    <n v="158"/>
    <d v="2026-04-20T00:00:00"/>
    <x v="7"/>
    <n v="550"/>
    <d v="2026-07-20T00:00:00"/>
    <d v="2026-01-25T00:00:00"/>
    <d v="2025-11-20T00:00:00"/>
    <x v="0"/>
    <n v="0"/>
  </r>
  <r>
    <n v="159"/>
    <d v="2025-01-11T00:00:00"/>
    <x v="4"/>
    <n v="10500"/>
    <d v="2025-04-11T00:00:00"/>
    <d v="2025-03-20T00:00:00"/>
    <d v="2025-11-20T00:00:00"/>
    <x v="0"/>
    <n v="0"/>
  </r>
  <r>
    <n v="160"/>
    <d v="2025-10-03T00:00:00"/>
    <x v="6"/>
    <n v="2500"/>
    <d v="2026-01-03T00:00:00"/>
    <m/>
    <d v="2025-11-20T00:00:00"/>
    <x v="1"/>
    <n v="0"/>
  </r>
  <r>
    <n v="161"/>
    <d v="2024-12-18T00:00:00"/>
    <x v="10"/>
    <n v="1900"/>
    <d v="2025-03-18T00:00:00"/>
    <d v="2025-05-05T00:00:00"/>
    <d v="2025-11-20T00:00:00"/>
    <x v="0"/>
    <n v="0"/>
  </r>
  <r>
    <n v="162"/>
    <d v="2025-11-02T00:00:00"/>
    <x v="11"/>
    <n v="8400"/>
    <d v="2026-02-02T00:00:00"/>
    <m/>
    <d v="2025-11-20T00:00:00"/>
    <x v="1"/>
    <n v="0"/>
  </r>
  <r>
    <n v="163"/>
    <d v="2025-01-29T00:00:00"/>
    <x v="14"/>
    <n v="3200"/>
    <d v="2025-04-29T00:00:00"/>
    <d v="2025-08-01T00:00:00"/>
    <d v="2025-11-20T00:00:00"/>
    <x v="0"/>
    <n v="0"/>
  </r>
  <r>
    <n v="164"/>
    <d v="2025-09-14T00:00:00"/>
    <x v="8"/>
    <n v="4700"/>
    <d v="2025-12-14T00:00:00"/>
    <m/>
    <d v="2025-11-20T00:00:00"/>
    <x v="1"/>
    <n v="0"/>
  </r>
  <r>
    <n v="165"/>
    <d v="2025-04-08T00:00:00"/>
    <x v="2"/>
    <n v="1150"/>
    <d v="2025-07-08T00:00:00"/>
    <m/>
    <d v="2025-11-20T00:00:00"/>
    <x v="2"/>
    <n v="135"/>
  </r>
  <r>
    <n v="166"/>
    <d v="2025-10-22T00:00:00"/>
    <x v="3"/>
    <n v="5300"/>
    <d v="2026-01-22T00:00:00"/>
    <d v="2025-06-15T00:00:00"/>
    <d v="2025-11-20T00:00:00"/>
    <x v="0"/>
    <n v="0"/>
  </r>
  <r>
    <n v="167"/>
    <d v="2026-01-17T00:00:00"/>
    <x v="9"/>
    <n v="15000"/>
    <d v="2026-04-17T00:00:00"/>
    <m/>
    <d v="2025-11-20T00:00:00"/>
    <x v="1"/>
    <n v="0"/>
  </r>
  <r>
    <n v="168"/>
    <d v="2025-03-06T00:00:00"/>
    <x v="12"/>
    <n v="650"/>
    <d v="2025-06-06T00:00:00"/>
    <m/>
    <d v="2025-11-20T00:00:00"/>
    <x v="2"/>
    <n v="167"/>
  </r>
  <r>
    <n v="169"/>
    <d v="2025-12-09T00:00:00"/>
    <x v="4"/>
    <n v="2800"/>
    <d v="2026-03-09T00:00:00"/>
    <d v="2025-04-20T00:00:00"/>
    <d v="2025-11-20T00:00:00"/>
    <x v="0"/>
    <n v="0"/>
  </r>
  <r>
    <n v="170"/>
    <d v="2025-11-19T00:00:00"/>
    <x v="7"/>
    <n v="1850"/>
    <d v="2026-02-19T00:00:00"/>
    <d v="2025-11-01T00:00:00"/>
    <d v="2025-11-20T00:00:00"/>
    <x v="0"/>
    <n v="0"/>
  </r>
  <r>
    <n v="171"/>
    <d v="2025-01-21T00:00:00"/>
    <x v="13"/>
    <n v="7100"/>
    <d v="2025-04-21T00:00:00"/>
    <m/>
    <d v="2025-11-20T00:00:00"/>
    <x v="2"/>
    <n v="213"/>
  </r>
  <r>
    <n v="172"/>
    <d v="2025-07-04T00:00:00"/>
    <x v="0"/>
    <n v="2600"/>
    <d v="2025-10-04T00:00:00"/>
    <d v="2026-01-01T00:00:00"/>
    <d v="2025-11-20T00:00:00"/>
    <x v="0"/>
    <n v="0"/>
  </r>
  <r>
    <n v="173"/>
    <d v="2025-12-07T00:00:00"/>
    <x v="5"/>
    <n v="4400"/>
    <d v="2026-03-07T00:00:00"/>
    <m/>
    <d v="2025-11-20T00:00:00"/>
    <x v="1"/>
    <n v="0"/>
  </r>
  <r>
    <n v="174"/>
    <d v="2025-09-23T00:00:00"/>
    <x v="15"/>
    <n v="9500"/>
    <d v="2025-12-23T00:00:00"/>
    <d v="2025-07-15T00:00:00"/>
    <d v="2025-11-20T00:00:00"/>
    <x v="0"/>
    <n v="0"/>
  </r>
  <r>
    <n v="175"/>
    <d v="2026-02-13T00:00:00"/>
    <x v="1"/>
    <n v="3300"/>
    <d v="2026-05-13T00:00:00"/>
    <m/>
    <d v="2025-11-20T00:00:00"/>
    <x v="1"/>
    <n v="0"/>
  </r>
  <r>
    <n v="176"/>
    <d v="2025-04-01T00:00:00"/>
    <x v="2"/>
    <n v="1550"/>
    <d v="2025-07-01T00:00:00"/>
    <d v="2025-06-05T00:00:00"/>
    <d v="2025-11-20T00:00:00"/>
    <x v="0"/>
    <n v="0"/>
  </r>
  <r>
    <n v="177"/>
    <d v="2025-12-17T00:00:00"/>
    <x v="3"/>
    <n v="5900"/>
    <d v="2026-03-17T00:00:00"/>
    <d v="2025-11-10T00:00:00"/>
    <d v="2025-11-20T00:00:00"/>
    <x v="0"/>
    <n v="0"/>
  </r>
  <r>
    <n v="178"/>
    <d v="2025-02-28T00:00:00"/>
    <x v="9"/>
    <n v="2750"/>
    <d v="2025-05-28T00:00:00"/>
    <m/>
    <d v="2025-11-20T00:00:00"/>
    <x v="2"/>
    <n v="176"/>
  </r>
  <r>
    <n v="179"/>
    <d v="2025-08-02T00:00:00"/>
    <x v="4"/>
    <n v="1000"/>
    <d v="2025-11-02T00:00:00"/>
    <d v="2025-04-20T00:00:00"/>
    <d v="2025-11-20T00:00:00"/>
    <x v="0"/>
    <n v="0"/>
  </r>
  <r>
    <n v="180"/>
    <d v="2025-10-11T00:00:00"/>
    <x v="12"/>
    <n v="6800"/>
    <d v="2026-01-11T00:00:00"/>
    <d v="2025-06-10T00:00:00"/>
    <d v="2025-11-20T00:00:00"/>
    <x v="0"/>
    <n v="0"/>
  </r>
  <r>
    <n v="181"/>
    <d v="2025-01-04T00:00:00"/>
    <x v="7"/>
    <n v="1890.5"/>
    <d v="2025-04-04T00:00:00"/>
    <m/>
    <d v="2025-11-20T00:00:00"/>
    <x v="2"/>
    <n v="230"/>
  </r>
  <r>
    <n v="182"/>
    <d v="2025-03-16T00:00:00"/>
    <x v="6"/>
    <n v="4100"/>
    <d v="2025-06-16T00:00:00"/>
    <m/>
    <d v="2025-11-20T00:00:00"/>
    <x v="2"/>
    <n v="157"/>
  </r>
  <r>
    <n v="183"/>
    <d v="2025-11-27T00:00:00"/>
    <x v="8"/>
    <n v="750"/>
    <d v="2026-02-27T00:00:00"/>
    <d v="2025-10-01T00:00:00"/>
    <d v="2025-11-20T00:00:00"/>
    <x v="0"/>
    <n v="0"/>
  </r>
  <r>
    <n v="184"/>
    <d v="2026-01-12T00:00:00"/>
    <x v="10"/>
    <n v="2980"/>
    <d v="2026-04-12T00:00:00"/>
    <d v="2025-03-20T00:00:00"/>
    <d v="2025-11-20T00:00:00"/>
    <x v="0"/>
    <n v="0"/>
  </r>
  <r>
    <n v="185"/>
    <d v="2025-06-05T00:00:00"/>
    <x v="11"/>
    <n v="1250"/>
    <d v="2025-09-05T00:00:00"/>
    <d v="2025-11-15T00:00:00"/>
    <d v="2025-11-20T00:00:00"/>
    <x v="0"/>
    <n v="0"/>
  </r>
  <r>
    <n v="186"/>
    <d v="2024-12-20T00:00:00"/>
    <x v="14"/>
    <n v="9870.2999999999993"/>
    <d v="2025-03-20T00:00:00"/>
    <d v="2025-09-15T00:00:00"/>
    <d v="2025-11-20T00:00:00"/>
    <x v="0"/>
    <n v="0"/>
  </r>
  <r>
    <n v="187"/>
    <d v="2025-08-13T00:00:00"/>
    <x v="2"/>
    <n v="645"/>
    <d v="2025-11-13T00:00:00"/>
    <d v="2025-11-01T00:00:00"/>
    <d v="2025-11-20T00:00:00"/>
    <x v="0"/>
    <n v="0"/>
  </r>
  <r>
    <n v="188"/>
    <d v="2025-05-09T00:00:00"/>
    <x v="3"/>
    <n v="3200"/>
    <d v="2025-08-09T00:00:00"/>
    <m/>
    <d v="2025-11-20T00:00:00"/>
    <x v="2"/>
    <n v="103"/>
  </r>
  <r>
    <n v="189"/>
    <d v="2025-07-24T00:00:00"/>
    <x v="9"/>
    <n v="150"/>
    <d v="2025-10-24T00:00:00"/>
    <d v="2025-03-20T00:00:00"/>
    <d v="2025-11-20T00:00:00"/>
    <x v="0"/>
    <n v="0"/>
  </r>
  <r>
    <n v="190"/>
    <d v="2026-02-03T00:00:00"/>
    <x v="4"/>
    <n v="11230"/>
    <d v="2026-05-03T00:00:00"/>
    <m/>
    <d v="2025-11-20T00:00:00"/>
    <x v="1"/>
    <n v="0"/>
  </r>
  <r>
    <n v="191"/>
    <d v="2024-12-15T00:00:00"/>
    <x v="12"/>
    <n v="4500"/>
    <d v="2025-03-15T00:00:00"/>
    <d v="2025-12-15T00:00:00"/>
    <d v="2025-11-20T00:00:00"/>
    <x v="0"/>
    <n v="0"/>
  </r>
  <r>
    <n v="192"/>
    <d v="2025-10-21T00:00:00"/>
    <x v="7"/>
    <n v="7890"/>
    <d v="2026-01-21T00:00:00"/>
    <d v="2025-09-05T00:00:00"/>
    <d v="2025-11-20T00:00:00"/>
    <x v="0"/>
    <n v="0"/>
  </r>
  <r>
    <n v="193"/>
    <d v="2025-09-10T00:00:00"/>
    <x v="13"/>
    <n v="1050"/>
    <d v="2025-12-10T00:00:00"/>
    <d v="2025-06-20T00:00:00"/>
    <d v="2025-11-20T00:00:00"/>
    <x v="0"/>
    <n v="0"/>
  </r>
  <r>
    <n v="194"/>
    <d v="2025-05-28T00:00:00"/>
    <x v="0"/>
    <n v="3450.9"/>
    <d v="2025-08-28T00:00:00"/>
    <m/>
    <d v="2025-11-20T00:00:00"/>
    <x v="2"/>
    <n v="84"/>
  </r>
  <r>
    <n v="195"/>
    <d v="2025-03-01T00:00:00"/>
    <x v="5"/>
    <n v="2150"/>
    <d v="2025-06-01T00:00:00"/>
    <m/>
    <d v="2025-11-20T00:00:00"/>
    <x v="2"/>
    <n v="172"/>
  </r>
  <r>
    <n v="196"/>
    <d v="2026-01-07T00:00:00"/>
    <x v="15"/>
    <n v="99.5"/>
    <d v="2026-04-07T00:00:00"/>
    <m/>
    <d v="2025-11-20T00:00:00"/>
    <x v="1"/>
    <n v="0"/>
  </r>
  <r>
    <n v="197"/>
    <d v="2026-02-26T00:00:00"/>
    <x v="1"/>
    <n v="12000"/>
    <d v="2026-05-26T00:00:00"/>
    <m/>
    <d v="2025-11-20T00:00:00"/>
    <x v="1"/>
    <n v="0"/>
  </r>
  <r>
    <n v="198"/>
    <d v="2025-11-19T00:00:00"/>
    <x v="2"/>
    <n v="350"/>
    <d v="2026-02-19T00:00:00"/>
    <d v="2025-11-01T00:00:00"/>
    <d v="2025-11-20T00:00:00"/>
    <x v="0"/>
    <n v="0"/>
  </r>
  <r>
    <n v="199"/>
    <d v="2025-12-14T00:00:00"/>
    <x v="3"/>
    <n v="6700"/>
    <d v="2026-03-14T00:00:00"/>
    <m/>
    <d v="2025-11-20T00:00:00"/>
    <x v="1"/>
    <n v="0"/>
  </r>
  <r>
    <n v="200"/>
    <d v="2025-07-20T00:00:00"/>
    <x v="9"/>
    <n v="1450"/>
    <d v="2025-10-20T00:00:00"/>
    <d v="2025-09-20T00:00:00"/>
    <d v="2025-11-20T00:00:0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0FA36B-3688-419E-8215-F77B84CB7563}" name="Tabella pivot3" cacheId="2" applyNumberFormats="0" applyBorderFormats="0" applyFontFormats="0" applyPatternFormats="0" applyAlignmentFormats="0" applyWidthHeightFormats="1" dataCaption="Valori" grandTotalCaption="Total Amount" updatedVersion="8" minRefreshableVersion="3" useAutoFormatting="1" itemPrintTitles="1" createdVersion="8" indent="0" outline="1" outlineData="1" multipleFieldFilters="0" chartFormat="8" rowHeaderCaption="Customer">
  <location ref="Z1:AA18" firstHeaderRow="1" firstDataRow="1" firstDataCol="1"/>
  <pivotFields count="9">
    <pivotField showAll="0"/>
    <pivotField showAll="0"/>
    <pivotField axis="axisRow" showAll="0" sortType="descending">
      <items count="17">
        <item x="11"/>
        <item x="5"/>
        <item x="12"/>
        <item x="6"/>
        <item x="13"/>
        <item x="14"/>
        <item x="15"/>
        <item x="1"/>
        <item x="8"/>
        <item x="9"/>
        <item x="10"/>
        <item x="0"/>
        <item x="3"/>
        <item x="2"/>
        <item x="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numFmtId="14" showAll="0"/>
    <pivotField showAll="0"/>
    <pivotField numFmtId="14" showAll="0"/>
    <pivotField showAll="0"/>
    <pivotField showAll="0"/>
  </pivotFields>
  <rowFields count="1">
    <field x="2"/>
  </rowFields>
  <rowItems count="17">
    <i>
      <x v="9"/>
    </i>
    <i>
      <x v="15"/>
    </i>
    <i>
      <x v="13"/>
    </i>
    <i>
      <x v="7"/>
    </i>
    <i>
      <x/>
    </i>
    <i>
      <x v="12"/>
    </i>
    <i>
      <x v="14"/>
    </i>
    <i>
      <x v="5"/>
    </i>
    <i>
      <x v="3"/>
    </i>
    <i>
      <x v="2"/>
    </i>
    <i>
      <x v="8"/>
    </i>
    <i>
      <x v="4"/>
    </i>
    <i>
      <x v="10"/>
    </i>
    <i>
      <x v="11"/>
    </i>
    <i>
      <x v="1"/>
    </i>
    <i>
      <x v="6"/>
    </i>
    <i t="grand">
      <x/>
    </i>
  </rowItems>
  <colItems count="1">
    <i/>
  </colItems>
  <dataFields count="1">
    <dataField name="Invoice Total" fld="3" baseField="2" baseItem="9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AF67EA-B7F4-48A0-B9DF-28596B9CC96C}" name="Tabella pivot2" cacheId="2" applyNumberFormats="0" applyBorderFormats="0" applyFontFormats="0" applyPatternFormats="0" applyAlignmentFormats="0" applyWidthHeightFormats="1" dataCaption="Valori" grandTotalCaption="Total" updatedVersion="8" minRefreshableVersion="3" showDrill="0" useAutoFormatting="1" itemPrintTitles="1" createdVersion="8" indent="0" outline="1" outlineData="1" multipleFieldFilters="0" chartFormat="13" rowHeaderCaption="Calculated Status">
  <location ref="M1:N5" firstHeaderRow="1" firstDataRow="1" firstDataCol="1"/>
  <pivotFields count="9">
    <pivotField showAll="0"/>
    <pivotField showAll="0"/>
    <pivotField showAll="0"/>
    <pivotField dataField="1"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Amount" fld="3" baseField="7" baseItem="0" numFmtId="7"/>
  </dataField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B16F7-4DED-4405-8DBA-D4AF07510499}" name="Tabella pivot1" cacheId="2" applyNumberFormats="0" applyBorderFormats="0" applyFontFormats="0" applyPatternFormats="0" applyAlignmentFormats="0" applyWidthHeightFormats="1" dataCaption="Valori" grandTotalCaption="Total" updatedVersion="8" minRefreshableVersion="3" useAutoFormatting="1" itemPrintTitles="1" createdVersion="8" indent="0" outline="1" outlineData="1" multipleFieldFilters="0" chartFormat="7" rowHeaderCaption="Calculated Status">
  <location ref="A1:B5" firstHeaderRow="1" firstDataRow="1" firstDataCol="1"/>
  <pivotFields count="9">
    <pivotField dataField="1" showAll="0"/>
    <pivotField showAll="0"/>
    <pivotField showAll="0"/>
    <pivotField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Invoice Number" fld="0" subtotal="count" baseField="7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9EC4-53E9-4C94-BBDB-1B93061353BD}">
  <dimension ref="A1:F201"/>
  <sheetViews>
    <sheetView workbookViewId="0">
      <selection activeCell="C196" sqref="C196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7.08984375" customWidth="1"/>
  </cols>
  <sheetData>
    <row r="1" spans="1:6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</row>
    <row r="2" spans="1:6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</row>
    <row r="3" spans="1:6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</row>
    <row r="4" spans="1:6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</row>
    <row r="5" spans="1:6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</row>
    <row r="6" spans="1:6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</row>
    <row r="7" spans="1:6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</row>
    <row r="8" spans="1:6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</row>
    <row r="9" spans="1:6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</row>
    <row r="10" spans="1:6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</row>
    <row r="11" spans="1:6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</row>
    <row r="12" spans="1:6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</row>
    <row r="13" spans="1:6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</row>
    <row r="14" spans="1:6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</row>
    <row r="15" spans="1:6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</row>
    <row r="16" spans="1:6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</row>
    <row r="17" spans="1:6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</row>
    <row r="18" spans="1:6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</row>
    <row r="19" spans="1:6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</row>
    <row r="20" spans="1:6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</row>
    <row r="21" spans="1:6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</row>
    <row r="22" spans="1:6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</row>
    <row r="23" spans="1:6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</row>
    <row r="24" spans="1:6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</row>
    <row r="25" spans="1:6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</row>
    <row r="26" spans="1:6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</row>
    <row r="27" spans="1:6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</row>
    <row r="28" spans="1:6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</row>
    <row r="29" spans="1:6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</row>
    <row r="30" spans="1:6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</row>
    <row r="31" spans="1:6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</row>
    <row r="32" spans="1:6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</row>
    <row r="33" spans="1:6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</row>
    <row r="34" spans="1:6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</row>
    <row r="35" spans="1:6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</row>
    <row r="36" spans="1:6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</row>
    <row r="37" spans="1:6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</row>
    <row r="38" spans="1:6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</row>
    <row r="39" spans="1:6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</row>
    <row r="40" spans="1:6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</row>
    <row r="41" spans="1:6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</row>
    <row r="42" spans="1:6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</row>
    <row r="43" spans="1:6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</row>
    <row r="44" spans="1:6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</row>
    <row r="45" spans="1:6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</row>
    <row r="46" spans="1:6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</row>
    <row r="47" spans="1:6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</row>
    <row r="48" spans="1:6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</row>
    <row r="49" spans="1:6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</row>
    <row r="50" spans="1:6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</row>
    <row r="51" spans="1:6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</row>
    <row r="52" spans="1:6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</row>
    <row r="53" spans="1:6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</row>
    <row r="54" spans="1:6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</row>
    <row r="55" spans="1:6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</row>
    <row r="56" spans="1:6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</row>
    <row r="57" spans="1:6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</row>
    <row r="58" spans="1:6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</row>
    <row r="59" spans="1:6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</row>
    <row r="60" spans="1:6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</row>
    <row r="61" spans="1:6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</row>
    <row r="62" spans="1:6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</row>
    <row r="63" spans="1:6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</row>
    <row r="64" spans="1:6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</row>
    <row r="65" spans="1:6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</row>
    <row r="66" spans="1:6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</row>
    <row r="67" spans="1:6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</row>
    <row r="68" spans="1:6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</row>
    <row r="69" spans="1:6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</row>
    <row r="70" spans="1:6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</row>
    <row r="71" spans="1:6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</row>
    <row r="72" spans="1:6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</row>
    <row r="73" spans="1:6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</row>
    <row r="74" spans="1:6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</row>
    <row r="75" spans="1:6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</row>
    <row r="76" spans="1:6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</row>
    <row r="77" spans="1:6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</row>
    <row r="78" spans="1:6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</row>
    <row r="79" spans="1:6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</row>
    <row r="80" spans="1:6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</row>
    <row r="81" spans="1:6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</row>
    <row r="82" spans="1:6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</row>
    <row r="83" spans="1:6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</row>
    <row r="84" spans="1:6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</row>
    <row r="85" spans="1:6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</row>
    <row r="86" spans="1:6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</row>
    <row r="87" spans="1:6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</row>
    <row r="88" spans="1:6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</row>
    <row r="89" spans="1:6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</row>
    <row r="90" spans="1:6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</row>
    <row r="91" spans="1:6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</row>
    <row r="92" spans="1:6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</row>
    <row r="93" spans="1:6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</row>
    <row r="94" spans="1:6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</row>
    <row r="95" spans="1:6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</row>
    <row r="96" spans="1:6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</row>
    <row r="97" spans="1:6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</row>
    <row r="98" spans="1:6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</row>
    <row r="99" spans="1:6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</row>
    <row r="100" spans="1:6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</row>
    <row r="101" spans="1:6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</row>
    <row r="102" spans="1:6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</row>
    <row r="103" spans="1:6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</row>
    <row r="104" spans="1:6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</row>
    <row r="105" spans="1:6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</row>
    <row r="106" spans="1:6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</row>
    <row r="107" spans="1:6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</row>
    <row r="108" spans="1:6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</row>
    <row r="109" spans="1:6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</row>
    <row r="110" spans="1:6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</row>
    <row r="111" spans="1:6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</row>
    <row r="112" spans="1:6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</row>
    <row r="113" spans="1:6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</row>
    <row r="114" spans="1:6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</row>
    <row r="115" spans="1:6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</row>
    <row r="116" spans="1:6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</row>
    <row r="117" spans="1:6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</row>
    <row r="118" spans="1:6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</row>
    <row r="119" spans="1:6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</row>
    <row r="120" spans="1:6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</row>
    <row r="121" spans="1:6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</row>
    <row r="122" spans="1:6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</row>
    <row r="123" spans="1:6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</row>
    <row r="124" spans="1:6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</row>
    <row r="125" spans="1:6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</row>
    <row r="126" spans="1:6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</row>
    <row r="127" spans="1:6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</row>
    <row r="128" spans="1:6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</row>
    <row r="129" spans="1:6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</row>
    <row r="130" spans="1:6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</row>
    <row r="131" spans="1:6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</row>
    <row r="132" spans="1:6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</row>
    <row r="133" spans="1:6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</row>
    <row r="134" spans="1:6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</row>
    <row r="135" spans="1:6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</row>
    <row r="136" spans="1:6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</row>
    <row r="137" spans="1:6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</row>
    <row r="138" spans="1:6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</row>
    <row r="139" spans="1:6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</row>
    <row r="140" spans="1:6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</row>
    <row r="141" spans="1:6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</row>
    <row r="142" spans="1:6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</row>
    <row r="143" spans="1:6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</row>
    <row r="144" spans="1:6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</row>
    <row r="145" spans="1:6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</row>
    <row r="146" spans="1:6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</row>
    <row r="147" spans="1:6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</row>
    <row r="148" spans="1:6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</row>
    <row r="149" spans="1:6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</row>
    <row r="150" spans="1:6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</row>
    <row r="151" spans="1:6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</row>
    <row r="152" spans="1:6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</row>
    <row r="153" spans="1:6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</row>
    <row r="154" spans="1:6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</row>
    <row r="155" spans="1:6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</row>
    <row r="156" spans="1:6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</row>
    <row r="157" spans="1:6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</row>
    <row r="158" spans="1:6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</row>
    <row r="159" spans="1:6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</row>
    <row r="160" spans="1:6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</row>
    <row r="161" spans="1:6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</row>
    <row r="162" spans="1:6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</row>
    <row r="163" spans="1:6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</row>
    <row r="164" spans="1:6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</row>
    <row r="165" spans="1:6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</row>
    <row r="166" spans="1:6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</row>
    <row r="167" spans="1:6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</row>
    <row r="168" spans="1:6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</row>
    <row r="169" spans="1:6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</row>
    <row r="170" spans="1:6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</row>
    <row r="171" spans="1:6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</row>
    <row r="172" spans="1:6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</row>
    <row r="173" spans="1:6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</row>
    <row r="174" spans="1:6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</row>
    <row r="175" spans="1:6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</row>
    <row r="176" spans="1:6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</row>
    <row r="177" spans="1:6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</row>
    <row r="178" spans="1:6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</row>
    <row r="179" spans="1:6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</row>
    <row r="180" spans="1:6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</row>
    <row r="181" spans="1:6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</row>
    <row r="182" spans="1:6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</row>
    <row r="183" spans="1:6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</row>
    <row r="184" spans="1:6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</row>
    <row r="185" spans="1:6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</row>
    <row r="186" spans="1:6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</row>
    <row r="187" spans="1:6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</row>
    <row r="188" spans="1:6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</row>
    <row r="189" spans="1:6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</row>
    <row r="190" spans="1:6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</row>
    <row r="191" spans="1:6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</row>
    <row r="192" spans="1:6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</row>
    <row r="193" spans="1:6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</row>
    <row r="194" spans="1:6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</row>
    <row r="195" spans="1:6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</row>
    <row r="196" spans="1:6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</row>
    <row r="197" spans="1:6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</row>
    <row r="198" spans="1:6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</row>
    <row r="199" spans="1:6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</row>
    <row r="200" spans="1:6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</row>
    <row r="201" spans="1:6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2BC1-84A4-4280-BEAB-AE99592285DD}">
  <dimension ref="A1:I201"/>
  <sheetViews>
    <sheetView topLeftCell="B1" workbookViewId="0">
      <pane ySplit="1" topLeftCell="A2" activePane="bottomLeft" state="frozen"/>
      <selection pane="bottomLeft" activeCell="F193" sqref="F193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6.90625" style="3" customWidth="1"/>
    <col min="7" max="7" width="18.54296875" style="12" customWidth="1"/>
    <col min="8" max="8" width="21.54296875" customWidth="1"/>
    <col min="9" max="9" width="19.54296875" style="14" customWidth="1"/>
  </cols>
  <sheetData>
    <row r="1" spans="1:9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  <c r="G1" s="10" t="s">
        <v>24</v>
      </c>
      <c r="H1" s="1" t="s">
        <v>23</v>
      </c>
      <c r="I1" s="1" t="s">
        <v>22</v>
      </c>
    </row>
    <row r="2" spans="1:9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  <c r="G2" s="5">
        <v>45981</v>
      </c>
      <c r="H2" s="2" t="str">
        <f t="shared" ref="H2:H66" si="0">IF(F2&lt;&gt;"","Paid",IF(E2&lt;$G$2,"Overdue","Unpaid"))</f>
        <v>Paid</v>
      </c>
      <c r="I2" s="13">
        <f>IF(H2="Overdue", G2-E2, 0)</f>
        <v>0</v>
      </c>
    </row>
    <row r="3" spans="1:9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  <c r="G3" s="5">
        <v>45981</v>
      </c>
      <c r="H3" s="2" t="str">
        <f t="shared" si="0"/>
        <v>Unpaid</v>
      </c>
      <c r="I3" s="13">
        <f t="shared" ref="I3:I66" si="1">IF(H3="Overdue", G3-E3, 0)</f>
        <v>0</v>
      </c>
    </row>
    <row r="4" spans="1:9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  <c r="G4" s="5">
        <v>45981</v>
      </c>
      <c r="H4" s="2" t="str">
        <f t="shared" si="0"/>
        <v>Paid</v>
      </c>
      <c r="I4" s="13">
        <f t="shared" si="1"/>
        <v>0</v>
      </c>
    </row>
    <row r="5" spans="1:9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  <c r="G5" s="5">
        <v>45981</v>
      </c>
      <c r="H5" s="2" t="str">
        <f t="shared" si="0"/>
        <v>Paid</v>
      </c>
      <c r="I5" s="13">
        <f t="shared" si="1"/>
        <v>0</v>
      </c>
    </row>
    <row r="6" spans="1:9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  <c r="G6" s="5">
        <v>45981</v>
      </c>
      <c r="H6" s="2" t="str">
        <f t="shared" si="0"/>
        <v>Overdue</v>
      </c>
      <c r="I6" s="13">
        <f t="shared" si="1"/>
        <v>15</v>
      </c>
    </row>
    <row r="7" spans="1:9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  <c r="G7" s="5">
        <v>45981</v>
      </c>
      <c r="H7" s="2" t="str">
        <f t="shared" si="0"/>
        <v>Unpaid</v>
      </c>
      <c r="I7" s="13">
        <f t="shared" si="1"/>
        <v>0</v>
      </c>
    </row>
    <row r="8" spans="1:9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  <c r="G8" s="5">
        <v>45981</v>
      </c>
      <c r="H8" s="2" t="str">
        <f t="shared" si="0"/>
        <v>Paid</v>
      </c>
      <c r="I8" s="13">
        <f t="shared" si="1"/>
        <v>0</v>
      </c>
    </row>
    <row r="9" spans="1:9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  <c r="G9" s="5">
        <v>45981</v>
      </c>
      <c r="H9" s="2" t="str">
        <f t="shared" si="0"/>
        <v>Unpaid</v>
      </c>
      <c r="I9" s="13">
        <f t="shared" si="1"/>
        <v>0</v>
      </c>
    </row>
    <row r="10" spans="1:9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  <c r="G10" s="5">
        <v>45981</v>
      </c>
      <c r="H10" s="2" t="str">
        <f t="shared" si="0"/>
        <v>Paid</v>
      </c>
      <c r="I10" s="13">
        <f t="shared" si="1"/>
        <v>0</v>
      </c>
    </row>
    <row r="11" spans="1:9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  <c r="G11" s="5">
        <v>45981</v>
      </c>
      <c r="H11" s="2" t="str">
        <f t="shared" si="0"/>
        <v>Unpaid</v>
      </c>
      <c r="I11" s="13">
        <f t="shared" si="1"/>
        <v>0</v>
      </c>
    </row>
    <row r="12" spans="1:9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  <c r="G12" s="5">
        <v>45981</v>
      </c>
      <c r="H12" s="2" t="str">
        <f t="shared" si="0"/>
        <v>Paid</v>
      </c>
      <c r="I12" s="13">
        <f t="shared" si="1"/>
        <v>0</v>
      </c>
    </row>
    <row r="13" spans="1:9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  <c r="G13" s="5">
        <v>45981</v>
      </c>
      <c r="H13" s="2" t="str">
        <f t="shared" si="0"/>
        <v>Unpaid</v>
      </c>
      <c r="I13" s="13">
        <f t="shared" si="1"/>
        <v>0</v>
      </c>
    </row>
    <row r="14" spans="1:9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  <c r="G14" s="5">
        <v>45981</v>
      </c>
      <c r="H14" s="2" t="str">
        <f t="shared" si="0"/>
        <v>Paid</v>
      </c>
      <c r="I14" s="13">
        <f t="shared" si="1"/>
        <v>0</v>
      </c>
    </row>
    <row r="15" spans="1:9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  <c r="G15" s="5">
        <v>45981</v>
      </c>
      <c r="H15" s="2" t="str">
        <f t="shared" si="0"/>
        <v>Unpaid</v>
      </c>
      <c r="I15" s="13">
        <f t="shared" si="1"/>
        <v>0</v>
      </c>
    </row>
    <row r="16" spans="1:9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  <c r="G16" s="5">
        <v>45981</v>
      </c>
      <c r="H16" s="2" t="str">
        <f t="shared" si="0"/>
        <v>Unpaid</v>
      </c>
      <c r="I16" s="13">
        <f t="shared" si="1"/>
        <v>0</v>
      </c>
    </row>
    <row r="17" spans="1:9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  <c r="G17" s="5">
        <v>45981</v>
      </c>
      <c r="H17" s="2" t="str">
        <f t="shared" si="0"/>
        <v>Paid</v>
      </c>
      <c r="I17" s="13">
        <f t="shared" si="1"/>
        <v>0</v>
      </c>
    </row>
    <row r="18" spans="1:9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  <c r="G18" s="5">
        <v>45981</v>
      </c>
      <c r="H18" s="2" t="str">
        <f t="shared" si="0"/>
        <v>Unpaid</v>
      </c>
      <c r="I18" s="13">
        <f t="shared" si="1"/>
        <v>0</v>
      </c>
    </row>
    <row r="19" spans="1:9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  <c r="G19" s="5">
        <v>45981</v>
      </c>
      <c r="H19" s="2" t="str">
        <f t="shared" si="0"/>
        <v>Unpaid</v>
      </c>
      <c r="I19" s="13">
        <f t="shared" si="1"/>
        <v>0</v>
      </c>
    </row>
    <row r="20" spans="1:9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  <c r="G20" s="5">
        <v>45981</v>
      </c>
      <c r="H20" s="2" t="str">
        <f t="shared" si="0"/>
        <v>Paid</v>
      </c>
      <c r="I20" s="13">
        <f t="shared" si="1"/>
        <v>0</v>
      </c>
    </row>
    <row r="21" spans="1:9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  <c r="G21" s="5">
        <v>45981</v>
      </c>
      <c r="H21" s="2" t="str">
        <f t="shared" si="0"/>
        <v>Paid</v>
      </c>
      <c r="I21" s="13">
        <f t="shared" si="1"/>
        <v>0</v>
      </c>
    </row>
    <row r="22" spans="1:9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  <c r="G22" s="5">
        <v>45981</v>
      </c>
      <c r="H22" s="2" t="str">
        <f t="shared" si="0"/>
        <v>Unpaid</v>
      </c>
      <c r="I22" s="13">
        <f t="shared" si="1"/>
        <v>0</v>
      </c>
    </row>
    <row r="23" spans="1:9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  <c r="G23" s="5">
        <v>45981</v>
      </c>
      <c r="H23" s="2" t="str">
        <f t="shared" si="0"/>
        <v>Paid</v>
      </c>
      <c r="I23" s="13">
        <f t="shared" si="1"/>
        <v>0</v>
      </c>
    </row>
    <row r="24" spans="1:9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  <c r="G24" s="5">
        <v>45981</v>
      </c>
      <c r="H24" s="2" t="str">
        <f t="shared" si="0"/>
        <v>Unpaid</v>
      </c>
      <c r="I24" s="13">
        <f t="shared" si="1"/>
        <v>0</v>
      </c>
    </row>
    <row r="25" spans="1:9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  <c r="G25" s="5">
        <v>45981</v>
      </c>
      <c r="H25" s="2" t="str">
        <f t="shared" si="0"/>
        <v>Paid</v>
      </c>
      <c r="I25" s="13">
        <f t="shared" si="1"/>
        <v>0</v>
      </c>
    </row>
    <row r="26" spans="1:9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  <c r="G26" s="5">
        <v>45981</v>
      </c>
      <c r="H26" s="2" t="str">
        <f t="shared" si="0"/>
        <v>Unpaid</v>
      </c>
      <c r="I26" s="13">
        <f t="shared" si="1"/>
        <v>0</v>
      </c>
    </row>
    <row r="27" spans="1:9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  <c r="G27" s="5">
        <v>45981</v>
      </c>
      <c r="H27" s="2" t="str">
        <f t="shared" si="0"/>
        <v>Paid</v>
      </c>
      <c r="I27" s="13">
        <f t="shared" si="1"/>
        <v>0</v>
      </c>
    </row>
    <row r="28" spans="1:9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  <c r="G28" s="5">
        <v>45981</v>
      </c>
      <c r="H28" s="2" t="str">
        <f t="shared" si="0"/>
        <v>Paid</v>
      </c>
      <c r="I28" s="13">
        <f t="shared" si="1"/>
        <v>0</v>
      </c>
    </row>
    <row r="29" spans="1:9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  <c r="G29" s="5">
        <v>45981</v>
      </c>
      <c r="H29" s="2" t="str">
        <f t="shared" si="0"/>
        <v>Unpaid</v>
      </c>
      <c r="I29" s="13">
        <f t="shared" si="1"/>
        <v>0</v>
      </c>
    </row>
    <row r="30" spans="1:9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  <c r="G30" s="5">
        <v>45981</v>
      </c>
      <c r="H30" s="2" t="str">
        <f t="shared" si="0"/>
        <v>Paid</v>
      </c>
      <c r="I30" s="13">
        <f t="shared" si="1"/>
        <v>0</v>
      </c>
    </row>
    <row r="31" spans="1:9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  <c r="G31" s="5">
        <v>45981</v>
      </c>
      <c r="H31" s="2" t="str">
        <f t="shared" si="0"/>
        <v>Paid</v>
      </c>
      <c r="I31" s="13">
        <f t="shared" si="1"/>
        <v>0</v>
      </c>
    </row>
    <row r="32" spans="1:9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  <c r="G32" s="5">
        <v>45981</v>
      </c>
      <c r="H32" s="2" t="str">
        <f t="shared" si="0"/>
        <v>Unpaid</v>
      </c>
      <c r="I32" s="13">
        <f t="shared" si="1"/>
        <v>0</v>
      </c>
    </row>
    <row r="33" spans="1:9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  <c r="G33" s="5">
        <v>45981</v>
      </c>
      <c r="H33" s="2" t="str">
        <f t="shared" si="0"/>
        <v>Unpaid</v>
      </c>
      <c r="I33" s="13">
        <f t="shared" si="1"/>
        <v>0</v>
      </c>
    </row>
    <row r="34" spans="1:9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  <c r="G34" s="5">
        <v>45981</v>
      </c>
      <c r="H34" s="2" t="str">
        <f t="shared" si="0"/>
        <v>Paid</v>
      </c>
      <c r="I34" s="13">
        <f t="shared" si="1"/>
        <v>0</v>
      </c>
    </row>
    <row r="35" spans="1:9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  <c r="G35" s="5">
        <v>45981</v>
      </c>
      <c r="H35" s="2" t="str">
        <f t="shared" si="0"/>
        <v>Paid</v>
      </c>
      <c r="I35" s="13">
        <f t="shared" si="1"/>
        <v>0</v>
      </c>
    </row>
    <row r="36" spans="1:9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  <c r="G36" s="5">
        <v>45981</v>
      </c>
      <c r="H36" s="2" t="str">
        <f t="shared" si="0"/>
        <v>Paid</v>
      </c>
      <c r="I36" s="13">
        <f t="shared" si="1"/>
        <v>0</v>
      </c>
    </row>
    <row r="37" spans="1:9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  <c r="G37" s="5">
        <v>45981</v>
      </c>
      <c r="H37" s="2" t="str">
        <f t="shared" si="0"/>
        <v>Paid</v>
      </c>
      <c r="I37" s="13">
        <f t="shared" si="1"/>
        <v>0</v>
      </c>
    </row>
    <row r="38" spans="1:9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  <c r="G38" s="5">
        <v>45981</v>
      </c>
      <c r="H38" s="2" t="str">
        <f t="shared" si="0"/>
        <v>Paid</v>
      </c>
      <c r="I38" s="13">
        <f t="shared" si="1"/>
        <v>0</v>
      </c>
    </row>
    <row r="39" spans="1:9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  <c r="G39" s="5">
        <v>45981</v>
      </c>
      <c r="H39" s="2" t="str">
        <f t="shared" si="0"/>
        <v>Unpaid</v>
      </c>
      <c r="I39" s="13">
        <f t="shared" si="1"/>
        <v>0</v>
      </c>
    </row>
    <row r="40" spans="1:9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  <c r="G40" s="5">
        <v>45981</v>
      </c>
      <c r="H40" s="2" t="str">
        <f t="shared" si="0"/>
        <v>Paid</v>
      </c>
      <c r="I40" s="13">
        <f t="shared" si="1"/>
        <v>0</v>
      </c>
    </row>
    <row r="41" spans="1:9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  <c r="G41" s="5">
        <v>45981</v>
      </c>
      <c r="H41" s="2" t="str">
        <f t="shared" si="0"/>
        <v>Unpaid</v>
      </c>
      <c r="I41" s="13">
        <f t="shared" si="1"/>
        <v>0</v>
      </c>
    </row>
    <row r="42" spans="1:9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  <c r="G42" s="5">
        <v>45981</v>
      </c>
      <c r="H42" s="2" t="str">
        <f t="shared" si="0"/>
        <v>Paid</v>
      </c>
      <c r="I42" s="13">
        <f t="shared" si="1"/>
        <v>0</v>
      </c>
    </row>
    <row r="43" spans="1:9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  <c r="G43" s="5">
        <v>45981</v>
      </c>
      <c r="H43" s="2" t="str">
        <f t="shared" si="0"/>
        <v>Paid</v>
      </c>
      <c r="I43" s="13">
        <f t="shared" si="1"/>
        <v>0</v>
      </c>
    </row>
    <row r="44" spans="1:9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  <c r="G44" s="5">
        <v>45981</v>
      </c>
      <c r="H44" s="2" t="str">
        <f t="shared" si="0"/>
        <v>Paid</v>
      </c>
      <c r="I44" s="13">
        <f t="shared" si="1"/>
        <v>0</v>
      </c>
    </row>
    <row r="45" spans="1:9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  <c r="G45" s="5">
        <v>45981</v>
      </c>
      <c r="H45" s="2" t="str">
        <f t="shared" si="0"/>
        <v>Unpaid</v>
      </c>
      <c r="I45" s="13">
        <f t="shared" si="1"/>
        <v>0</v>
      </c>
    </row>
    <row r="46" spans="1:9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  <c r="G46" s="5">
        <v>45981</v>
      </c>
      <c r="H46" s="2" t="str">
        <f t="shared" si="0"/>
        <v>Unpaid</v>
      </c>
      <c r="I46" s="13">
        <f t="shared" si="1"/>
        <v>0</v>
      </c>
    </row>
    <row r="47" spans="1:9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  <c r="G47" s="5">
        <v>45981</v>
      </c>
      <c r="H47" s="2" t="str">
        <f t="shared" si="0"/>
        <v>Overdue</v>
      </c>
      <c r="I47" s="13">
        <f t="shared" si="1"/>
        <v>1</v>
      </c>
    </row>
    <row r="48" spans="1:9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  <c r="G48" s="5">
        <v>45981</v>
      </c>
      <c r="H48" s="2" t="str">
        <f t="shared" si="0"/>
        <v>Unpaid</v>
      </c>
      <c r="I48" s="13">
        <f t="shared" si="1"/>
        <v>0</v>
      </c>
    </row>
    <row r="49" spans="1:9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  <c r="G49" s="5">
        <v>45981</v>
      </c>
      <c r="H49" s="2" t="str">
        <f t="shared" si="0"/>
        <v>Paid</v>
      </c>
      <c r="I49" s="13">
        <f t="shared" si="1"/>
        <v>0</v>
      </c>
    </row>
    <row r="50" spans="1:9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  <c r="G50" s="5">
        <v>45981</v>
      </c>
      <c r="H50" s="2" t="str">
        <f t="shared" si="0"/>
        <v>Unpaid</v>
      </c>
      <c r="I50" s="13">
        <f t="shared" si="1"/>
        <v>0</v>
      </c>
    </row>
    <row r="51" spans="1:9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  <c r="G51" s="5">
        <v>45981</v>
      </c>
      <c r="H51" s="2" t="str">
        <f t="shared" si="0"/>
        <v>Paid</v>
      </c>
      <c r="I51" s="13">
        <f t="shared" si="1"/>
        <v>0</v>
      </c>
    </row>
    <row r="52" spans="1:9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  <c r="G52" s="5">
        <v>45981</v>
      </c>
      <c r="H52" s="2" t="str">
        <f t="shared" si="0"/>
        <v>Paid</v>
      </c>
      <c r="I52" s="13">
        <f t="shared" si="1"/>
        <v>0</v>
      </c>
    </row>
    <row r="53" spans="1:9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  <c r="G53" s="5">
        <v>45981</v>
      </c>
      <c r="H53" s="2" t="str">
        <f t="shared" si="0"/>
        <v>Paid</v>
      </c>
      <c r="I53" s="13">
        <f t="shared" si="1"/>
        <v>0</v>
      </c>
    </row>
    <row r="54" spans="1:9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  <c r="G54" s="5">
        <v>45981</v>
      </c>
      <c r="H54" s="2" t="str">
        <f t="shared" si="0"/>
        <v>Paid</v>
      </c>
      <c r="I54" s="13">
        <f t="shared" si="1"/>
        <v>0</v>
      </c>
    </row>
    <row r="55" spans="1:9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  <c r="G55" s="5">
        <v>45981</v>
      </c>
      <c r="H55" s="2" t="str">
        <f t="shared" si="0"/>
        <v>Paid</v>
      </c>
      <c r="I55" s="13">
        <f t="shared" si="1"/>
        <v>0</v>
      </c>
    </row>
    <row r="56" spans="1:9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  <c r="G56" s="5">
        <v>45981</v>
      </c>
      <c r="H56" s="2" t="str">
        <f t="shared" si="0"/>
        <v>Paid</v>
      </c>
      <c r="I56" s="13">
        <f t="shared" si="1"/>
        <v>0</v>
      </c>
    </row>
    <row r="57" spans="1:9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  <c r="G57" s="5">
        <v>45981</v>
      </c>
      <c r="H57" s="2" t="str">
        <f t="shared" si="0"/>
        <v>Paid</v>
      </c>
      <c r="I57" s="13">
        <f t="shared" si="1"/>
        <v>0</v>
      </c>
    </row>
    <row r="58" spans="1:9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  <c r="G58" s="5">
        <v>45981</v>
      </c>
      <c r="H58" s="2" t="str">
        <f t="shared" si="0"/>
        <v>Paid</v>
      </c>
      <c r="I58" s="13">
        <f t="shared" si="1"/>
        <v>0</v>
      </c>
    </row>
    <row r="59" spans="1:9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  <c r="G59" s="5">
        <v>45981</v>
      </c>
      <c r="H59" s="2" t="str">
        <f t="shared" si="0"/>
        <v>Paid</v>
      </c>
      <c r="I59" s="13">
        <f t="shared" si="1"/>
        <v>0</v>
      </c>
    </row>
    <row r="60" spans="1:9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  <c r="G60" s="5">
        <v>45981</v>
      </c>
      <c r="H60" s="2" t="str">
        <f t="shared" si="0"/>
        <v>Paid</v>
      </c>
      <c r="I60" s="13">
        <f t="shared" si="1"/>
        <v>0</v>
      </c>
    </row>
    <row r="61" spans="1:9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  <c r="G61" s="5">
        <v>45981</v>
      </c>
      <c r="H61" s="2" t="str">
        <f t="shared" si="0"/>
        <v>Overdue</v>
      </c>
      <c r="I61" s="13">
        <f t="shared" si="1"/>
        <v>12</v>
      </c>
    </row>
    <row r="62" spans="1:9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  <c r="G62" s="5">
        <v>45981</v>
      </c>
      <c r="H62" s="2" t="str">
        <f t="shared" si="0"/>
        <v>Paid</v>
      </c>
      <c r="I62" s="13">
        <f t="shared" si="1"/>
        <v>0</v>
      </c>
    </row>
    <row r="63" spans="1:9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  <c r="G63" s="5">
        <v>45981</v>
      </c>
      <c r="H63" s="2" t="str">
        <f t="shared" si="0"/>
        <v>Paid</v>
      </c>
      <c r="I63" s="13">
        <f t="shared" si="1"/>
        <v>0</v>
      </c>
    </row>
    <row r="64" spans="1:9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  <c r="G64" s="5">
        <v>45981</v>
      </c>
      <c r="H64" s="2" t="str">
        <f t="shared" si="0"/>
        <v>Paid</v>
      </c>
      <c r="I64" s="13">
        <f t="shared" si="1"/>
        <v>0</v>
      </c>
    </row>
    <row r="65" spans="1:9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  <c r="G65" s="5">
        <v>45981</v>
      </c>
      <c r="H65" s="2" t="str">
        <f t="shared" si="0"/>
        <v>Paid</v>
      </c>
      <c r="I65" s="13">
        <f t="shared" si="1"/>
        <v>0</v>
      </c>
    </row>
    <row r="66" spans="1:9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  <c r="G66" s="5">
        <v>45981</v>
      </c>
      <c r="H66" s="2" t="str">
        <f t="shared" si="0"/>
        <v>Paid</v>
      </c>
      <c r="I66" s="13">
        <f t="shared" si="1"/>
        <v>0</v>
      </c>
    </row>
    <row r="67" spans="1:9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  <c r="G67" s="5">
        <v>45981</v>
      </c>
      <c r="H67" s="2" t="str">
        <f t="shared" ref="H67:H130" si="2">IF(F67&lt;&gt;"","Paid",IF(E67&lt;$G$2,"Overdue","Unpaid"))</f>
        <v>Paid</v>
      </c>
      <c r="I67" s="13">
        <f t="shared" ref="I67:I130" si="3">IF(H67="Overdue", G67-E67, 0)</f>
        <v>0</v>
      </c>
    </row>
    <row r="68" spans="1:9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  <c r="G68" s="5">
        <v>45981</v>
      </c>
      <c r="H68" s="2" t="str">
        <f t="shared" si="2"/>
        <v>Paid</v>
      </c>
      <c r="I68" s="13">
        <f t="shared" si="3"/>
        <v>0</v>
      </c>
    </row>
    <row r="69" spans="1:9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  <c r="G69" s="5">
        <v>45981</v>
      </c>
      <c r="H69" s="2" t="str">
        <f t="shared" si="2"/>
        <v>Paid</v>
      </c>
      <c r="I69" s="13">
        <f t="shared" si="3"/>
        <v>0</v>
      </c>
    </row>
    <row r="70" spans="1:9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  <c r="G70" s="5">
        <v>45981</v>
      </c>
      <c r="H70" s="2" t="str">
        <f t="shared" si="2"/>
        <v>Paid</v>
      </c>
      <c r="I70" s="13">
        <f t="shared" si="3"/>
        <v>0</v>
      </c>
    </row>
    <row r="71" spans="1:9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  <c r="G71" s="5">
        <v>45981</v>
      </c>
      <c r="H71" s="2" t="str">
        <f t="shared" si="2"/>
        <v>Paid</v>
      </c>
      <c r="I71" s="13">
        <f t="shared" si="3"/>
        <v>0</v>
      </c>
    </row>
    <row r="72" spans="1:9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  <c r="G72" s="5">
        <v>45981</v>
      </c>
      <c r="H72" s="2" t="str">
        <f t="shared" si="2"/>
        <v>Paid</v>
      </c>
      <c r="I72" s="13">
        <f t="shared" si="3"/>
        <v>0</v>
      </c>
    </row>
    <row r="73" spans="1:9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  <c r="G73" s="5">
        <v>45981</v>
      </c>
      <c r="H73" s="2" t="str">
        <f t="shared" si="2"/>
        <v>Paid</v>
      </c>
      <c r="I73" s="13">
        <f t="shared" si="3"/>
        <v>0</v>
      </c>
    </row>
    <row r="74" spans="1:9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  <c r="G74" s="5">
        <v>45981</v>
      </c>
      <c r="H74" s="2" t="str">
        <f t="shared" si="2"/>
        <v>Paid</v>
      </c>
      <c r="I74" s="13">
        <f t="shared" si="3"/>
        <v>0</v>
      </c>
    </row>
    <row r="75" spans="1:9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  <c r="G75" s="5">
        <v>45981</v>
      </c>
      <c r="H75" s="2" t="str">
        <f t="shared" si="2"/>
        <v>Paid</v>
      </c>
      <c r="I75" s="13">
        <f t="shared" si="3"/>
        <v>0</v>
      </c>
    </row>
    <row r="76" spans="1:9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  <c r="G76" s="5">
        <v>45981</v>
      </c>
      <c r="H76" s="2" t="str">
        <f t="shared" si="2"/>
        <v>Paid</v>
      </c>
      <c r="I76" s="13">
        <f t="shared" si="3"/>
        <v>0</v>
      </c>
    </row>
    <row r="77" spans="1:9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  <c r="G77" s="5">
        <v>45981</v>
      </c>
      <c r="H77" s="2" t="str">
        <f t="shared" si="2"/>
        <v>Paid</v>
      </c>
      <c r="I77" s="13">
        <f t="shared" si="3"/>
        <v>0</v>
      </c>
    </row>
    <row r="78" spans="1:9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  <c r="G78" s="5">
        <v>45981</v>
      </c>
      <c r="H78" s="2" t="str">
        <f t="shared" si="2"/>
        <v>Paid</v>
      </c>
      <c r="I78" s="13">
        <f t="shared" si="3"/>
        <v>0</v>
      </c>
    </row>
    <row r="79" spans="1:9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  <c r="G79" s="5">
        <v>45981</v>
      </c>
      <c r="H79" s="2" t="str">
        <f t="shared" si="2"/>
        <v>Unpaid</v>
      </c>
      <c r="I79" s="13">
        <f t="shared" si="3"/>
        <v>0</v>
      </c>
    </row>
    <row r="80" spans="1:9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  <c r="G80" s="5">
        <v>45981</v>
      </c>
      <c r="H80" s="2" t="str">
        <f t="shared" si="2"/>
        <v>Paid</v>
      </c>
      <c r="I80" s="13">
        <f t="shared" si="3"/>
        <v>0</v>
      </c>
    </row>
    <row r="81" spans="1:9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  <c r="G81" s="5">
        <v>45981</v>
      </c>
      <c r="H81" s="2" t="str">
        <f t="shared" si="2"/>
        <v>Paid</v>
      </c>
      <c r="I81" s="13">
        <f t="shared" si="3"/>
        <v>0</v>
      </c>
    </row>
    <row r="82" spans="1:9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  <c r="G82" s="5">
        <v>45981</v>
      </c>
      <c r="H82" s="2" t="str">
        <f t="shared" si="2"/>
        <v>Paid</v>
      </c>
      <c r="I82" s="13">
        <f t="shared" si="3"/>
        <v>0</v>
      </c>
    </row>
    <row r="83" spans="1:9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  <c r="G83" s="5">
        <v>45981</v>
      </c>
      <c r="H83" s="2" t="str">
        <f t="shared" si="2"/>
        <v>Paid</v>
      </c>
      <c r="I83" s="13">
        <f t="shared" si="3"/>
        <v>0</v>
      </c>
    </row>
    <row r="84" spans="1:9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  <c r="G84" s="5">
        <v>45981</v>
      </c>
      <c r="H84" s="2" t="str">
        <f t="shared" si="2"/>
        <v>Paid</v>
      </c>
      <c r="I84" s="13">
        <f t="shared" si="3"/>
        <v>0</v>
      </c>
    </row>
    <row r="85" spans="1:9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  <c r="G85" s="5">
        <v>45981</v>
      </c>
      <c r="H85" s="2" t="str">
        <f t="shared" si="2"/>
        <v>Paid</v>
      </c>
      <c r="I85" s="13">
        <f t="shared" si="3"/>
        <v>0</v>
      </c>
    </row>
    <row r="86" spans="1:9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  <c r="G86" s="5">
        <v>45981</v>
      </c>
      <c r="H86" s="2" t="str">
        <f t="shared" si="2"/>
        <v>Paid</v>
      </c>
      <c r="I86" s="13">
        <f t="shared" si="3"/>
        <v>0</v>
      </c>
    </row>
    <row r="87" spans="1:9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  <c r="G87" s="5">
        <v>45981</v>
      </c>
      <c r="H87" s="2" t="str">
        <f t="shared" si="2"/>
        <v>Paid</v>
      </c>
      <c r="I87" s="13">
        <f t="shared" si="3"/>
        <v>0</v>
      </c>
    </row>
    <row r="88" spans="1:9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  <c r="G88" s="5">
        <v>45981</v>
      </c>
      <c r="H88" s="2" t="str">
        <f t="shared" si="2"/>
        <v>Paid</v>
      </c>
      <c r="I88" s="13">
        <f t="shared" si="3"/>
        <v>0</v>
      </c>
    </row>
    <row r="89" spans="1:9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  <c r="G89" s="5">
        <v>45981</v>
      </c>
      <c r="H89" s="2" t="str">
        <f t="shared" si="2"/>
        <v>Paid</v>
      </c>
      <c r="I89" s="13">
        <f t="shared" si="3"/>
        <v>0</v>
      </c>
    </row>
    <row r="90" spans="1:9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  <c r="G90" s="5">
        <v>45981</v>
      </c>
      <c r="H90" s="2" t="str">
        <f t="shared" si="2"/>
        <v>Paid</v>
      </c>
      <c r="I90" s="13">
        <f t="shared" si="3"/>
        <v>0</v>
      </c>
    </row>
    <row r="91" spans="1:9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  <c r="G91" s="5">
        <v>45981</v>
      </c>
      <c r="H91" s="2" t="str">
        <f t="shared" si="2"/>
        <v>Paid</v>
      </c>
      <c r="I91" s="13">
        <f t="shared" si="3"/>
        <v>0</v>
      </c>
    </row>
    <row r="92" spans="1:9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  <c r="G92" s="5">
        <v>45981</v>
      </c>
      <c r="H92" s="2" t="str">
        <f t="shared" si="2"/>
        <v>Paid</v>
      </c>
      <c r="I92" s="13">
        <f t="shared" si="3"/>
        <v>0</v>
      </c>
    </row>
    <row r="93" spans="1:9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  <c r="G93" s="5">
        <v>45981</v>
      </c>
      <c r="H93" s="2" t="str">
        <f t="shared" si="2"/>
        <v>Paid</v>
      </c>
      <c r="I93" s="13">
        <f t="shared" si="3"/>
        <v>0</v>
      </c>
    </row>
    <row r="94" spans="1:9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  <c r="G94" s="5">
        <v>45981</v>
      </c>
      <c r="H94" s="2" t="str">
        <f t="shared" si="2"/>
        <v>Paid</v>
      </c>
      <c r="I94" s="13">
        <f t="shared" si="3"/>
        <v>0</v>
      </c>
    </row>
    <row r="95" spans="1:9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  <c r="G95" s="5">
        <v>45981</v>
      </c>
      <c r="H95" s="2" t="str">
        <f t="shared" si="2"/>
        <v>Paid</v>
      </c>
      <c r="I95" s="13">
        <f t="shared" si="3"/>
        <v>0</v>
      </c>
    </row>
    <row r="96" spans="1:9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  <c r="G96" s="5">
        <v>45981</v>
      </c>
      <c r="H96" s="2" t="str">
        <f t="shared" si="2"/>
        <v>Paid</v>
      </c>
      <c r="I96" s="13">
        <f t="shared" si="3"/>
        <v>0</v>
      </c>
    </row>
    <row r="97" spans="1:9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  <c r="G97" s="5">
        <v>45981</v>
      </c>
      <c r="H97" s="2" t="str">
        <f t="shared" si="2"/>
        <v>Paid</v>
      </c>
      <c r="I97" s="13">
        <f t="shared" si="3"/>
        <v>0</v>
      </c>
    </row>
    <row r="98" spans="1:9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  <c r="G98" s="5">
        <v>45981</v>
      </c>
      <c r="H98" s="2" t="str">
        <f t="shared" si="2"/>
        <v>Paid</v>
      </c>
      <c r="I98" s="13">
        <f t="shared" si="3"/>
        <v>0</v>
      </c>
    </row>
    <row r="99" spans="1:9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  <c r="G99" s="5">
        <v>45981</v>
      </c>
      <c r="H99" s="2" t="str">
        <f t="shared" si="2"/>
        <v>Paid</v>
      </c>
      <c r="I99" s="13">
        <f t="shared" si="3"/>
        <v>0</v>
      </c>
    </row>
    <row r="100" spans="1:9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  <c r="G100" s="5">
        <v>45981</v>
      </c>
      <c r="H100" s="2" t="str">
        <f t="shared" si="2"/>
        <v>Paid</v>
      </c>
      <c r="I100" s="13">
        <f t="shared" si="3"/>
        <v>0</v>
      </c>
    </row>
    <row r="101" spans="1:9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  <c r="G101" s="5">
        <v>45981</v>
      </c>
      <c r="H101" s="2" t="str">
        <f t="shared" si="2"/>
        <v>Paid</v>
      </c>
      <c r="I101" s="13">
        <f t="shared" si="3"/>
        <v>0</v>
      </c>
    </row>
    <row r="102" spans="1:9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  <c r="G102" s="5">
        <v>45981</v>
      </c>
      <c r="H102" s="2" t="str">
        <f t="shared" si="2"/>
        <v>Paid</v>
      </c>
      <c r="I102" s="13">
        <f t="shared" si="3"/>
        <v>0</v>
      </c>
    </row>
    <row r="103" spans="1:9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  <c r="G103" s="5">
        <v>45981</v>
      </c>
      <c r="H103" s="2" t="str">
        <f t="shared" si="2"/>
        <v>Paid</v>
      </c>
      <c r="I103" s="13">
        <f t="shared" si="3"/>
        <v>0</v>
      </c>
    </row>
    <row r="104" spans="1:9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  <c r="G104" s="5">
        <v>45981</v>
      </c>
      <c r="H104" s="2" t="str">
        <f t="shared" si="2"/>
        <v>Unpaid</v>
      </c>
      <c r="I104" s="13">
        <f t="shared" si="3"/>
        <v>0</v>
      </c>
    </row>
    <row r="105" spans="1:9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  <c r="G105" s="5">
        <v>45981</v>
      </c>
      <c r="H105" s="2" t="str">
        <f t="shared" si="2"/>
        <v>Paid</v>
      </c>
      <c r="I105" s="13">
        <f t="shared" si="3"/>
        <v>0</v>
      </c>
    </row>
    <row r="106" spans="1:9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  <c r="G106" s="5">
        <v>45981</v>
      </c>
      <c r="H106" s="2" t="str">
        <f t="shared" si="2"/>
        <v>Unpaid</v>
      </c>
      <c r="I106" s="13">
        <f t="shared" si="3"/>
        <v>0</v>
      </c>
    </row>
    <row r="107" spans="1:9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  <c r="G107" s="5">
        <v>45981</v>
      </c>
      <c r="H107" s="2" t="str">
        <f t="shared" si="2"/>
        <v>Paid</v>
      </c>
      <c r="I107" s="13">
        <f t="shared" si="3"/>
        <v>0</v>
      </c>
    </row>
    <row r="108" spans="1:9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  <c r="G108" s="5">
        <v>45981</v>
      </c>
      <c r="H108" s="2" t="str">
        <f t="shared" si="2"/>
        <v>Unpaid</v>
      </c>
      <c r="I108" s="13">
        <f t="shared" si="3"/>
        <v>0</v>
      </c>
    </row>
    <row r="109" spans="1:9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  <c r="G109" s="5">
        <v>45981</v>
      </c>
      <c r="H109" s="2" t="str">
        <f t="shared" si="2"/>
        <v>Paid</v>
      </c>
      <c r="I109" s="13">
        <f t="shared" si="3"/>
        <v>0</v>
      </c>
    </row>
    <row r="110" spans="1:9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  <c r="G110" s="5">
        <v>45981</v>
      </c>
      <c r="H110" s="2" t="str">
        <f t="shared" si="2"/>
        <v>Paid</v>
      </c>
      <c r="I110" s="13">
        <f t="shared" si="3"/>
        <v>0</v>
      </c>
    </row>
    <row r="111" spans="1:9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  <c r="G111" s="5">
        <v>45981</v>
      </c>
      <c r="H111" s="2" t="str">
        <f t="shared" si="2"/>
        <v>Paid</v>
      </c>
      <c r="I111" s="13">
        <f t="shared" si="3"/>
        <v>0</v>
      </c>
    </row>
    <row r="112" spans="1:9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  <c r="G112" s="5">
        <v>45981</v>
      </c>
      <c r="H112" s="2" t="str">
        <f t="shared" si="2"/>
        <v>Paid</v>
      </c>
      <c r="I112" s="13">
        <f t="shared" si="3"/>
        <v>0</v>
      </c>
    </row>
    <row r="113" spans="1:9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  <c r="G113" s="5">
        <v>45981</v>
      </c>
      <c r="H113" s="2" t="str">
        <f t="shared" si="2"/>
        <v>Overdue</v>
      </c>
      <c r="I113" s="13">
        <f t="shared" si="3"/>
        <v>77</v>
      </c>
    </row>
    <row r="114" spans="1:9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  <c r="G114" s="5">
        <v>45981</v>
      </c>
      <c r="H114" s="2" t="str">
        <f t="shared" si="2"/>
        <v>Unpaid</v>
      </c>
      <c r="I114" s="13">
        <f t="shared" si="3"/>
        <v>0</v>
      </c>
    </row>
    <row r="115" spans="1:9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  <c r="G115" s="5">
        <v>45981</v>
      </c>
      <c r="H115" s="2" t="str">
        <f t="shared" si="2"/>
        <v>Paid</v>
      </c>
      <c r="I115" s="13">
        <f t="shared" si="3"/>
        <v>0</v>
      </c>
    </row>
    <row r="116" spans="1:9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  <c r="G116" s="5">
        <v>45981</v>
      </c>
      <c r="H116" s="2" t="str">
        <f t="shared" si="2"/>
        <v>Paid</v>
      </c>
      <c r="I116" s="13">
        <f t="shared" si="3"/>
        <v>0</v>
      </c>
    </row>
    <row r="117" spans="1:9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  <c r="G117" s="5">
        <v>45981</v>
      </c>
      <c r="H117" s="2" t="str">
        <f t="shared" si="2"/>
        <v>Paid</v>
      </c>
      <c r="I117" s="13">
        <f t="shared" si="3"/>
        <v>0</v>
      </c>
    </row>
    <row r="118" spans="1:9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  <c r="G118" s="5">
        <v>45981</v>
      </c>
      <c r="H118" s="2" t="str">
        <f t="shared" si="2"/>
        <v>Unpaid</v>
      </c>
      <c r="I118" s="13">
        <f t="shared" si="3"/>
        <v>0</v>
      </c>
    </row>
    <row r="119" spans="1:9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  <c r="G119" s="5">
        <v>45981</v>
      </c>
      <c r="H119" s="2" t="str">
        <f t="shared" si="2"/>
        <v>Paid</v>
      </c>
      <c r="I119" s="13">
        <f t="shared" si="3"/>
        <v>0</v>
      </c>
    </row>
    <row r="120" spans="1:9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  <c r="G120" s="5">
        <v>45981</v>
      </c>
      <c r="H120" s="2" t="str">
        <f t="shared" si="2"/>
        <v>Paid</v>
      </c>
      <c r="I120" s="13">
        <f t="shared" si="3"/>
        <v>0</v>
      </c>
    </row>
    <row r="121" spans="1:9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  <c r="G121" s="5">
        <v>45981</v>
      </c>
      <c r="H121" s="2" t="str">
        <f t="shared" si="2"/>
        <v>Paid</v>
      </c>
      <c r="I121" s="13">
        <f t="shared" si="3"/>
        <v>0</v>
      </c>
    </row>
    <row r="122" spans="1:9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  <c r="G122" s="5">
        <v>45981</v>
      </c>
      <c r="H122" s="2" t="str">
        <f t="shared" si="2"/>
        <v>Paid</v>
      </c>
      <c r="I122" s="13">
        <f t="shared" si="3"/>
        <v>0</v>
      </c>
    </row>
    <row r="123" spans="1:9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  <c r="G123" s="5">
        <v>45981</v>
      </c>
      <c r="H123" s="2" t="str">
        <f t="shared" si="2"/>
        <v>Unpaid</v>
      </c>
      <c r="I123" s="13">
        <f t="shared" si="3"/>
        <v>0</v>
      </c>
    </row>
    <row r="124" spans="1:9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  <c r="G124" s="5">
        <v>45981</v>
      </c>
      <c r="H124" s="2" t="str">
        <f t="shared" si="2"/>
        <v>Paid</v>
      </c>
      <c r="I124" s="13">
        <f t="shared" si="3"/>
        <v>0</v>
      </c>
    </row>
    <row r="125" spans="1:9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  <c r="G125" s="5">
        <v>45981</v>
      </c>
      <c r="H125" s="2" t="str">
        <f t="shared" si="2"/>
        <v>Paid</v>
      </c>
      <c r="I125" s="13">
        <f t="shared" si="3"/>
        <v>0</v>
      </c>
    </row>
    <row r="126" spans="1:9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  <c r="G126" s="5">
        <v>45981</v>
      </c>
      <c r="H126" s="2" t="str">
        <f t="shared" si="2"/>
        <v>Unpaid</v>
      </c>
      <c r="I126" s="13">
        <f t="shared" si="3"/>
        <v>0</v>
      </c>
    </row>
    <row r="127" spans="1:9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  <c r="G127" s="5">
        <v>45981</v>
      </c>
      <c r="H127" s="2" t="str">
        <f t="shared" si="2"/>
        <v>Paid</v>
      </c>
      <c r="I127" s="13">
        <f t="shared" si="3"/>
        <v>0</v>
      </c>
    </row>
    <row r="128" spans="1:9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  <c r="G128" s="5">
        <v>45981</v>
      </c>
      <c r="H128" s="2" t="str">
        <f t="shared" si="2"/>
        <v>Paid</v>
      </c>
      <c r="I128" s="13">
        <f t="shared" si="3"/>
        <v>0</v>
      </c>
    </row>
    <row r="129" spans="1:9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  <c r="G129" s="5">
        <v>45981</v>
      </c>
      <c r="H129" s="2" t="str">
        <f t="shared" si="2"/>
        <v>Paid</v>
      </c>
      <c r="I129" s="13">
        <f t="shared" si="3"/>
        <v>0</v>
      </c>
    </row>
    <row r="130" spans="1:9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  <c r="G130" s="5">
        <v>45981</v>
      </c>
      <c r="H130" s="2" t="str">
        <f t="shared" si="2"/>
        <v>Paid</v>
      </c>
      <c r="I130" s="13">
        <f t="shared" si="3"/>
        <v>0</v>
      </c>
    </row>
    <row r="131" spans="1:9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  <c r="G131" s="5">
        <v>45981</v>
      </c>
      <c r="H131" s="2" t="str">
        <f t="shared" ref="H131:H194" si="4">IF(F131&lt;&gt;"","Paid",IF(E131&lt;$G$2,"Overdue","Unpaid"))</f>
        <v>Paid</v>
      </c>
      <c r="I131" s="13">
        <f t="shared" ref="I131:I194" si="5">IF(H131="Overdue", G131-E131, 0)</f>
        <v>0</v>
      </c>
    </row>
    <row r="132" spans="1:9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  <c r="G132" s="5">
        <v>45981</v>
      </c>
      <c r="H132" s="2" t="str">
        <f t="shared" si="4"/>
        <v>Paid</v>
      </c>
      <c r="I132" s="13">
        <f t="shared" si="5"/>
        <v>0</v>
      </c>
    </row>
    <row r="133" spans="1:9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  <c r="G133" s="5">
        <v>45981</v>
      </c>
      <c r="H133" s="2" t="str">
        <f t="shared" si="4"/>
        <v>Paid</v>
      </c>
      <c r="I133" s="13">
        <f t="shared" si="5"/>
        <v>0</v>
      </c>
    </row>
    <row r="134" spans="1:9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  <c r="G134" s="5">
        <v>45981</v>
      </c>
      <c r="H134" s="2" t="str">
        <f t="shared" si="4"/>
        <v>Paid</v>
      </c>
      <c r="I134" s="13">
        <f t="shared" si="5"/>
        <v>0</v>
      </c>
    </row>
    <row r="135" spans="1:9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  <c r="G135" s="5">
        <v>45981</v>
      </c>
      <c r="H135" s="2" t="str">
        <f t="shared" si="4"/>
        <v>Paid</v>
      </c>
      <c r="I135" s="13">
        <f t="shared" si="5"/>
        <v>0</v>
      </c>
    </row>
    <row r="136" spans="1:9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  <c r="G136" s="5">
        <v>45981</v>
      </c>
      <c r="H136" s="2" t="str">
        <f t="shared" si="4"/>
        <v>Paid</v>
      </c>
      <c r="I136" s="13">
        <f t="shared" si="5"/>
        <v>0</v>
      </c>
    </row>
    <row r="137" spans="1:9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  <c r="G137" s="5">
        <v>45981</v>
      </c>
      <c r="H137" s="2" t="str">
        <f t="shared" si="4"/>
        <v>Paid</v>
      </c>
      <c r="I137" s="13">
        <f t="shared" si="5"/>
        <v>0</v>
      </c>
    </row>
    <row r="138" spans="1:9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  <c r="G138" s="5">
        <v>45981</v>
      </c>
      <c r="H138" s="2" t="str">
        <f t="shared" si="4"/>
        <v>Paid</v>
      </c>
      <c r="I138" s="13">
        <f t="shared" si="5"/>
        <v>0</v>
      </c>
    </row>
    <row r="139" spans="1:9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  <c r="G139" s="5">
        <v>45981</v>
      </c>
      <c r="H139" s="2" t="str">
        <f t="shared" si="4"/>
        <v>Paid</v>
      </c>
      <c r="I139" s="13">
        <f t="shared" si="5"/>
        <v>0</v>
      </c>
    </row>
    <row r="140" spans="1:9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  <c r="G140" s="5">
        <v>45981</v>
      </c>
      <c r="H140" s="2" t="str">
        <f t="shared" si="4"/>
        <v>Paid</v>
      </c>
      <c r="I140" s="13">
        <f t="shared" si="5"/>
        <v>0</v>
      </c>
    </row>
    <row r="141" spans="1:9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  <c r="G141" s="5">
        <v>45981</v>
      </c>
      <c r="H141" s="2" t="str">
        <f t="shared" si="4"/>
        <v>Paid</v>
      </c>
      <c r="I141" s="13">
        <f t="shared" si="5"/>
        <v>0</v>
      </c>
    </row>
    <row r="142" spans="1:9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  <c r="G142" s="5">
        <v>45981</v>
      </c>
      <c r="H142" s="2" t="str">
        <f t="shared" si="4"/>
        <v>Paid</v>
      </c>
      <c r="I142" s="13">
        <f t="shared" si="5"/>
        <v>0</v>
      </c>
    </row>
    <row r="143" spans="1:9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  <c r="G143" s="5">
        <v>45981</v>
      </c>
      <c r="H143" s="2" t="str">
        <f t="shared" si="4"/>
        <v>Paid</v>
      </c>
      <c r="I143" s="13">
        <f t="shared" si="5"/>
        <v>0</v>
      </c>
    </row>
    <row r="144" spans="1:9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  <c r="G144" s="5">
        <v>45981</v>
      </c>
      <c r="H144" s="2" t="str">
        <f t="shared" si="4"/>
        <v>Unpaid</v>
      </c>
      <c r="I144" s="13">
        <f t="shared" si="5"/>
        <v>0</v>
      </c>
    </row>
    <row r="145" spans="1:9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  <c r="G145" s="5">
        <v>45981</v>
      </c>
      <c r="H145" s="2" t="str">
        <f t="shared" si="4"/>
        <v>Paid</v>
      </c>
      <c r="I145" s="13">
        <f t="shared" si="5"/>
        <v>0</v>
      </c>
    </row>
    <row r="146" spans="1:9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  <c r="G146" s="5">
        <v>45981</v>
      </c>
      <c r="H146" s="2" t="str">
        <f t="shared" si="4"/>
        <v>Paid</v>
      </c>
      <c r="I146" s="13">
        <f t="shared" si="5"/>
        <v>0</v>
      </c>
    </row>
    <row r="147" spans="1:9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  <c r="G147" s="5">
        <v>45981</v>
      </c>
      <c r="H147" s="2" t="str">
        <f t="shared" si="4"/>
        <v>Paid</v>
      </c>
      <c r="I147" s="13">
        <f t="shared" si="5"/>
        <v>0</v>
      </c>
    </row>
    <row r="148" spans="1:9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  <c r="G148" s="5">
        <v>45981</v>
      </c>
      <c r="H148" s="2" t="str">
        <f t="shared" si="4"/>
        <v>Paid</v>
      </c>
      <c r="I148" s="13">
        <f t="shared" si="5"/>
        <v>0</v>
      </c>
    </row>
    <row r="149" spans="1:9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  <c r="G149" s="5">
        <v>45981</v>
      </c>
      <c r="H149" s="2" t="str">
        <f t="shared" si="4"/>
        <v>Paid</v>
      </c>
      <c r="I149" s="13">
        <f t="shared" si="5"/>
        <v>0</v>
      </c>
    </row>
    <row r="150" spans="1:9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  <c r="G150" s="5">
        <v>45981</v>
      </c>
      <c r="H150" s="2" t="str">
        <f t="shared" si="4"/>
        <v>Paid</v>
      </c>
      <c r="I150" s="13">
        <f t="shared" si="5"/>
        <v>0</v>
      </c>
    </row>
    <row r="151" spans="1:9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  <c r="G151" s="5">
        <v>45981</v>
      </c>
      <c r="H151" s="2" t="str">
        <f t="shared" si="4"/>
        <v>Paid</v>
      </c>
      <c r="I151" s="13">
        <f t="shared" si="5"/>
        <v>0</v>
      </c>
    </row>
    <row r="152" spans="1:9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  <c r="G152" s="5">
        <v>45981</v>
      </c>
      <c r="H152" s="2" t="str">
        <f t="shared" si="4"/>
        <v>Paid</v>
      </c>
      <c r="I152" s="13">
        <f t="shared" si="5"/>
        <v>0</v>
      </c>
    </row>
    <row r="153" spans="1:9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  <c r="G153" s="5">
        <v>45981</v>
      </c>
      <c r="H153" s="2" t="str">
        <f t="shared" si="4"/>
        <v>Paid</v>
      </c>
      <c r="I153" s="13">
        <f t="shared" si="5"/>
        <v>0</v>
      </c>
    </row>
    <row r="154" spans="1:9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  <c r="G154" s="5">
        <v>45981</v>
      </c>
      <c r="H154" s="2" t="str">
        <f t="shared" si="4"/>
        <v>Paid</v>
      </c>
      <c r="I154" s="13">
        <f t="shared" si="5"/>
        <v>0</v>
      </c>
    </row>
    <row r="155" spans="1:9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  <c r="G155" s="5">
        <v>45981</v>
      </c>
      <c r="H155" s="2" t="str">
        <f t="shared" si="4"/>
        <v>Paid</v>
      </c>
      <c r="I155" s="13">
        <f t="shared" si="5"/>
        <v>0</v>
      </c>
    </row>
    <row r="156" spans="1:9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  <c r="G156" s="5">
        <v>45981</v>
      </c>
      <c r="H156" s="2" t="str">
        <f t="shared" si="4"/>
        <v>Overdue</v>
      </c>
      <c r="I156" s="13">
        <f t="shared" si="5"/>
        <v>203</v>
      </c>
    </row>
    <row r="157" spans="1:9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  <c r="G157" s="5">
        <v>45981</v>
      </c>
      <c r="H157" s="2" t="str">
        <f t="shared" si="4"/>
        <v>Overdue</v>
      </c>
      <c r="I157" s="13">
        <f t="shared" si="5"/>
        <v>66</v>
      </c>
    </row>
    <row r="158" spans="1:9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  <c r="G158" s="5">
        <v>45981</v>
      </c>
      <c r="H158" s="2" t="str">
        <f t="shared" si="4"/>
        <v>Paid</v>
      </c>
      <c r="I158" s="13">
        <f t="shared" si="5"/>
        <v>0</v>
      </c>
    </row>
    <row r="159" spans="1:9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  <c r="G159" s="5">
        <v>45981</v>
      </c>
      <c r="H159" s="2" t="str">
        <f t="shared" si="4"/>
        <v>Paid</v>
      </c>
      <c r="I159" s="13">
        <f t="shared" si="5"/>
        <v>0</v>
      </c>
    </row>
    <row r="160" spans="1:9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  <c r="G160" s="5">
        <v>45981</v>
      </c>
      <c r="H160" s="2" t="str">
        <f t="shared" si="4"/>
        <v>Paid</v>
      </c>
      <c r="I160" s="13">
        <f t="shared" si="5"/>
        <v>0</v>
      </c>
    </row>
    <row r="161" spans="1:9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  <c r="G161" s="5">
        <v>45981</v>
      </c>
      <c r="H161" s="2" t="str">
        <f t="shared" si="4"/>
        <v>Unpaid</v>
      </c>
      <c r="I161" s="13">
        <f t="shared" si="5"/>
        <v>0</v>
      </c>
    </row>
    <row r="162" spans="1:9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  <c r="G162" s="5">
        <v>45981</v>
      </c>
      <c r="H162" s="2" t="str">
        <f t="shared" si="4"/>
        <v>Paid</v>
      </c>
      <c r="I162" s="13">
        <f t="shared" si="5"/>
        <v>0</v>
      </c>
    </row>
    <row r="163" spans="1:9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  <c r="G163" s="5">
        <v>45981</v>
      </c>
      <c r="H163" s="2" t="str">
        <f t="shared" si="4"/>
        <v>Unpaid</v>
      </c>
      <c r="I163" s="13">
        <f t="shared" si="5"/>
        <v>0</v>
      </c>
    </row>
    <row r="164" spans="1:9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  <c r="G164" s="5">
        <v>45981</v>
      </c>
      <c r="H164" s="2" t="str">
        <f t="shared" si="4"/>
        <v>Paid</v>
      </c>
      <c r="I164" s="13">
        <f t="shared" si="5"/>
        <v>0</v>
      </c>
    </row>
    <row r="165" spans="1:9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  <c r="G165" s="5">
        <v>45981</v>
      </c>
      <c r="H165" s="2" t="str">
        <f t="shared" si="4"/>
        <v>Unpaid</v>
      </c>
      <c r="I165" s="13">
        <f t="shared" si="5"/>
        <v>0</v>
      </c>
    </row>
    <row r="166" spans="1:9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  <c r="G166" s="5">
        <v>45981</v>
      </c>
      <c r="H166" s="2" t="str">
        <f t="shared" si="4"/>
        <v>Overdue</v>
      </c>
      <c r="I166" s="13">
        <f t="shared" si="5"/>
        <v>135</v>
      </c>
    </row>
    <row r="167" spans="1:9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  <c r="G167" s="5">
        <v>45981</v>
      </c>
      <c r="H167" s="2" t="str">
        <f t="shared" si="4"/>
        <v>Paid</v>
      </c>
      <c r="I167" s="13">
        <f t="shared" si="5"/>
        <v>0</v>
      </c>
    </row>
    <row r="168" spans="1:9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  <c r="G168" s="5">
        <v>45981</v>
      </c>
      <c r="H168" s="2" t="str">
        <f t="shared" si="4"/>
        <v>Unpaid</v>
      </c>
      <c r="I168" s="13">
        <f t="shared" si="5"/>
        <v>0</v>
      </c>
    </row>
    <row r="169" spans="1:9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  <c r="G169" s="5">
        <v>45981</v>
      </c>
      <c r="H169" s="2" t="str">
        <f t="shared" si="4"/>
        <v>Overdue</v>
      </c>
      <c r="I169" s="13">
        <f t="shared" si="5"/>
        <v>167</v>
      </c>
    </row>
    <row r="170" spans="1:9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  <c r="G170" s="5">
        <v>45981</v>
      </c>
      <c r="H170" s="2" t="str">
        <f t="shared" si="4"/>
        <v>Paid</v>
      </c>
      <c r="I170" s="13">
        <f t="shared" si="5"/>
        <v>0</v>
      </c>
    </row>
    <row r="171" spans="1:9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  <c r="G171" s="5">
        <v>45981</v>
      </c>
      <c r="H171" s="2" t="str">
        <f t="shared" si="4"/>
        <v>Paid</v>
      </c>
      <c r="I171" s="13">
        <f t="shared" si="5"/>
        <v>0</v>
      </c>
    </row>
    <row r="172" spans="1:9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  <c r="G172" s="5">
        <v>45981</v>
      </c>
      <c r="H172" s="2" t="str">
        <f t="shared" si="4"/>
        <v>Overdue</v>
      </c>
      <c r="I172" s="13">
        <f t="shared" si="5"/>
        <v>213</v>
      </c>
    </row>
    <row r="173" spans="1:9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  <c r="G173" s="5">
        <v>45981</v>
      </c>
      <c r="H173" s="2" t="str">
        <f t="shared" si="4"/>
        <v>Paid</v>
      </c>
      <c r="I173" s="13">
        <f t="shared" si="5"/>
        <v>0</v>
      </c>
    </row>
    <row r="174" spans="1:9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  <c r="G174" s="5">
        <v>45981</v>
      </c>
      <c r="H174" s="2" t="str">
        <f t="shared" si="4"/>
        <v>Unpaid</v>
      </c>
      <c r="I174" s="13">
        <f t="shared" si="5"/>
        <v>0</v>
      </c>
    </row>
    <row r="175" spans="1:9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  <c r="G175" s="5">
        <v>45981</v>
      </c>
      <c r="H175" s="2" t="str">
        <f t="shared" si="4"/>
        <v>Paid</v>
      </c>
      <c r="I175" s="13">
        <f t="shared" si="5"/>
        <v>0</v>
      </c>
    </row>
    <row r="176" spans="1:9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  <c r="G176" s="5">
        <v>45981</v>
      </c>
      <c r="H176" s="2" t="str">
        <f t="shared" si="4"/>
        <v>Unpaid</v>
      </c>
      <c r="I176" s="13">
        <f t="shared" si="5"/>
        <v>0</v>
      </c>
    </row>
    <row r="177" spans="1:9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  <c r="G177" s="5">
        <v>45981</v>
      </c>
      <c r="H177" s="2" t="str">
        <f t="shared" si="4"/>
        <v>Paid</v>
      </c>
      <c r="I177" s="13">
        <f t="shared" si="5"/>
        <v>0</v>
      </c>
    </row>
    <row r="178" spans="1:9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  <c r="G178" s="5">
        <v>45981</v>
      </c>
      <c r="H178" s="2" t="str">
        <f t="shared" si="4"/>
        <v>Paid</v>
      </c>
      <c r="I178" s="13">
        <f t="shared" si="5"/>
        <v>0</v>
      </c>
    </row>
    <row r="179" spans="1:9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  <c r="G179" s="5">
        <v>45981</v>
      </c>
      <c r="H179" s="2" t="str">
        <f t="shared" si="4"/>
        <v>Overdue</v>
      </c>
      <c r="I179" s="13">
        <f t="shared" si="5"/>
        <v>176</v>
      </c>
    </row>
    <row r="180" spans="1:9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  <c r="G180" s="5">
        <v>45981</v>
      </c>
      <c r="H180" s="2" t="str">
        <f t="shared" si="4"/>
        <v>Paid</v>
      </c>
      <c r="I180" s="13">
        <f t="shared" si="5"/>
        <v>0</v>
      </c>
    </row>
    <row r="181" spans="1:9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  <c r="G181" s="5">
        <v>45981</v>
      </c>
      <c r="H181" s="2" t="str">
        <f t="shared" si="4"/>
        <v>Paid</v>
      </c>
      <c r="I181" s="13">
        <f t="shared" si="5"/>
        <v>0</v>
      </c>
    </row>
    <row r="182" spans="1:9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  <c r="G182" s="5">
        <v>45981</v>
      </c>
      <c r="H182" s="2" t="str">
        <f t="shared" si="4"/>
        <v>Overdue</v>
      </c>
      <c r="I182" s="13">
        <f t="shared" si="5"/>
        <v>230</v>
      </c>
    </row>
    <row r="183" spans="1:9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  <c r="G183" s="5">
        <v>45981</v>
      </c>
      <c r="H183" s="2" t="str">
        <f t="shared" si="4"/>
        <v>Overdue</v>
      </c>
      <c r="I183" s="13">
        <f t="shared" si="5"/>
        <v>157</v>
      </c>
    </row>
    <row r="184" spans="1:9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  <c r="G184" s="5">
        <v>45981</v>
      </c>
      <c r="H184" s="2" t="str">
        <f t="shared" si="4"/>
        <v>Paid</v>
      </c>
      <c r="I184" s="13">
        <f t="shared" si="5"/>
        <v>0</v>
      </c>
    </row>
    <row r="185" spans="1:9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  <c r="G185" s="5">
        <v>45981</v>
      </c>
      <c r="H185" s="2" t="str">
        <f t="shared" si="4"/>
        <v>Paid</v>
      </c>
      <c r="I185" s="13">
        <f t="shared" si="5"/>
        <v>0</v>
      </c>
    </row>
    <row r="186" spans="1:9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  <c r="G186" s="5">
        <v>45981</v>
      </c>
      <c r="H186" s="2" t="str">
        <f t="shared" si="4"/>
        <v>Paid</v>
      </c>
      <c r="I186" s="13">
        <f t="shared" si="5"/>
        <v>0</v>
      </c>
    </row>
    <row r="187" spans="1:9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  <c r="G187" s="5">
        <v>45981</v>
      </c>
      <c r="H187" s="2" t="str">
        <f t="shared" si="4"/>
        <v>Paid</v>
      </c>
      <c r="I187" s="13">
        <f t="shared" si="5"/>
        <v>0</v>
      </c>
    </row>
    <row r="188" spans="1:9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  <c r="G188" s="5">
        <v>45981</v>
      </c>
      <c r="H188" s="2" t="str">
        <f t="shared" si="4"/>
        <v>Paid</v>
      </c>
      <c r="I188" s="13">
        <f t="shared" si="5"/>
        <v>0</v>
      </c>
    </row>
    <row r="189" spans="1:9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  <c r="G189" s="5">
        <v>45981</v>
      </c>
      <c r="H189" s="2" t="str">
        <f t="shared" si="4"/>
        <v>Overdue</v>
      </c>
      <c r="I189" s="13">
        <f t="shared" si="5"/>
        <v>103</v>
      </c>
    </row>
    <row r="190" spans="1:9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  <c r="G190" s="5">
        <v>45981</v>
      </c>
      <c r="H190" s="2" t="str">
        <f t="shared" si="4"/>
        <v>Paid</v>
      </c>
      <c r="I190" s="13">
        <f t="shared" si="5"/>
        <v>0</v>
      </c>
    </row>
    <row r="191" spans="1:9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  <c r="G191" s="5">
        <v>45981</v>
      </c>
      <c r="H191" s="2" t="str">
        <f t="shared" si="4"/>
        <v>Unpaid</v>
      </c>
      <c r="I191" s="13">
        <f t="shared" si="5"/>
        <v>0</v>
      </c>
    </row>
    <row r="192" spans="1:9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  <c r="G192" s="5">
        <v>45981</v>
      </c>
      <c r="H192" s="2" t="str">
        <f t="shared" si="4"/>
        <v>Paid</v>
      </c>
      <c r="I192" s="13">
        <f t="shared" si="5"/>
        <v>0</v>
      </c>
    </row>
    <row r="193" spans="1:9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  <c r="G193" s="5">
        <v>45981</v>
      </c>
      <c r="H193" s="2" t="str">
        <f t="shared" si="4"/>
        <v>Paid</v>
      </c>
      <c r="I193" s="13">
        <f t="shared" si="5"/>
        <v>0</v>
      </c>
    </row>
    <row r="194" spans="1:9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  <c r="G194" s="5">
        <v>45981</v>
      </c>
      <c r="H194" s="2" t="str">
        <f t="shared" si="4"/>
        <v>Paid</v>
      </c>
      <c r="I194" s="13">
        <f t="shared" si="5"/>
        <v>0</v>
      </c>
    </row>
    <row r="195" spans="1:9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  <c r="G195" s="5">
        <v>45981</v>
      </c>
      <c r="H195" s="2" t="str">
        <f t="shared" ref="H195:H201" si="6">IF(F195&lt;&gt;"","Paid",IF(E195&lt;$G$2,"Overdue","Unpaid"))</f>
        <v>Overdue</v>
      </c>
      <c r="I195" s="13">
        <f t="shared" ref="I195:I201" si="7">IF(H195="Overdue", G195-E195, 0)</f>
        <v>84</v>
      </c>
    </row>
    <row r="196" spans="1:9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  <c r="G196" s="5">
        <v>45981</v>
      </c>
      <c r="H196" s="2" t="str">
        <f t="shared" si="6"/>
        <v>Overdue</v>
      </c>
      <c r="I196" s="13">
        <f t="shared" si="7"/>
        <v>172</v>
      </c>
    </row>
    <row r="197" spans="1:9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  <c r="G197" s="5">
        <v>45981</v>
      </c>
      <c r="H197" s="2" t="str">
        <f t="shared" si="6"/>
        <v>Unpaid</v>
      </c>
      <c r="I197" s="13">
        <f t="shared" si="7"/>
        <v>0</v>
      </c>
    </row>
    <row r="198" spans="1:9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  <c r="G198" s="5">
        <v>45981</v>
      </c>
      <c r="H198" s="2" t="str">
        <f t="shared" si="6"/>
        <v>Unpaid</v>
      </c>
      <c r="I198" s="13">
        <f t="shared" si="7"/>
        <v>0</v>
      </c>
    </row>
    <row r="199" spans="1:9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  <c r="G199" s="5">
        <v>45981</v>
      </c>
      <c r="H199" s="2" t="str">
        <f t="shared" si="6"/>
        <v>Paid</v>
      </c>
      <c r="I199" s="13">
        <f t="shared" si="7"/>
        <v>0</v>
      </c>
    </row>
    <row r="200" spans="1:9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  <c r="G200" s="5">
        <v>45981</v>
      </c>
      <c r="H200" s="2" t="str">
        <f t="shared" si="6"/>
        <v>Unpaid</v>
      </c>
      <c r="I200" s="13">
        <f t="shared" si="7"/>
        <v>0</v>
      </c>
    </row>
    <row r="201" spans="1:9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  <c r="G201" s="5">
        <v>45981</v>
      </c>
      <c r="H201" s="2" t="str">
        <f t="shared" si="6"/>
        <v>Paid</v>
      </c>
      <c r="I201" s="13">
        <f t="shared" si="7"/>
        <v>0</v>
      </c>
    </row>
  </sheetData>
  <conditionalFormatting sqref="H1:H1048576">
    <cfRule type="cellIs" dxfId="2" priority="1" operator="equal">
      <formula>"Unpaid"</formula>
    </cfRule>
    <cfRule type="cellIs" dxfId="1" priority="2" operator="equal">
      <formula>"Paid"</formula>
    </cfRule>
    <cfRule type="cellIs" dxfId="0" priority="3" operator="equal">
      <formula>"Overdue"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4D69F-5719-4ECE-A976-CD9A45525F6C}">
  <dimension ref="A1:H201"/>
  <sheetViews>
    <sheetView zoomScaleNormal="100" workbookViewId="0">
      <selection activeCell="C4" sqref="C4"/>
    </sheetView>
  </sheetViews>
  <sheetFormatPr defaultRowHeight="14.5" x14ac:dyDescent="0.35"/>
  <cols>
    <col min="1" max="1" width="15.08984375" style="9" customWidth="1"/>
    <col min="3" max="3" width="28.90625" customWidth="1"/>
    <col min="4" max="4" width="28.81640625" customWidth="1"/>
    <col min="5" max="6" width="6.36328125" customWidth="1"/>
    <col min="7" max="7" width="20.90625" customWidth="1"/>
    <col min="8" max="8" width="50.54296875" customWidth="1"/>
  </cols>
  <sheetData>
    <row r="1" spans="1:8" ht="15.5" x14ac:dyDescent="0.35">
      <c r="A1" s="7" t="s">
        <v>5</v>
      </c>
    </row>
    <row r="2" spans="1:8" x14ac:dyDescent="0.35">
      <c r="A2" s="8" t="s">
        <v>10</v>
      </c>
      <c r="C2" s="24" t="s">
        <v>31</v>
      </c>
      <c r="D2" s="25"/>
      <c r="G2" s="24" t="s">
        <v>26</v>
      </c>
      <c r="H2" s="25"/>
    </row>
    <row r="3" spans="1:8" x14ac:dyDescent="0.35">
      <c r="A3" s="8" t="s">
        <v>11</v>
      </c>
      <c r="C3" s="15" t="s">
        <v>27</v>
      </c>
      <c r="D3" s="15" t="s">
        <v>29</v>
      </c>
      <c r="G3" s="15" t="s">
        <v>27</v>
      </c>
      <c r="H3" s="15" t="s">
        <v>29</v>
      </c>
    </row>
    <row r="4" spans="1:8" x14ac:dyDescent="0.35">
      <c r="A4" s="8" t="s">
        <v>0</v>
      </c>
      <c r="C4" s="16" t="s">
        <v>10</v>
      </c>
      <c r="D4" s="17">
        <f>COUNTIF(Analysis_Sheet!C:C, Dashboard!C4)</f>
        <v>9</v>
      </c>
      <c r="G4" s="16" t="s">
        <v>10</v>
      </c>
      <c r="H4" s="19">
        <f>COUNTIFS(Analysis_Sheet!C:C, G4, Analysis_Sheet!H:H, "Overdue") + COUNTIFS(Analysis_Sheet!C:C, G4, Analysis_Sheet!H:H, "Unpaid")</f>
        <v>2</v>
      </c>
    </row>
    <row r="5" spans="1:8" ht="60" customHeight="1" x14ac:dyDescent="0.35">
      <c r="A5" s="8" t="s">
        <v>9</v>
      </c>
      <c r="D5" s="20" t="str">
        <f ca="1">_xlfn.FORMULATEXT(D4)</f>
        <v>=CONTA.SE(Analysis_Sheet!C:C; Dashboard!C4)</v>
      </c>
      <c r="H5" s="20" t="str">
        <f ca="1">_xlfn.FORMULATEXT(H4)</f>
        <v>=CONTA.PIÙ.SE(Analysis_Sheet!C:C; G4; Analysis_Sheet!H:H; "Overdue") + CONTA.PIÙ.SE(Analysis_Sheet!C:C; G4; Analysis_Sheet!H:H; "Unpaid")</v>
      </c>
    </row>
    <row r="6" spans="1:8" x14ac:dyDescent="0.35">
      <c r="A6" s="8" t="s">
        <v>1</v>
      </c>
    </row>
    <row r="7" spans="1:8" x14ac:dyDescent="0.35">
      <c r="A7" s="8" t="s">
        <v>12</v>
      </c>
    </row>
    <row r="8" spans="1:8" x14ac:dyDescent="0.35">
      <c r="A8" s="8" t="s">
        <v>13</v>
      </c>
    </row>
    <row r="9" spans="1:8" x14ac:dyDescent="0.35">
      <c r="A9" s="8" t="s">
        <v>2</v>
      </c>
      <c r="C9" s="24" t="s">
        <v>32</v>
      </c>
      <c r="D9" s="25"/>
      <c r="G9" s="24" t="s">
        <v>28</v>
      </c>
      <c r="H9" s="25"/>
    </row>
    <row r="10" spans="1:8" x14ac:dyDescent="0.35">
      <c r="A10" s="8" t="s">
        <v>14</v>
      </c>
      <c r="C10" s="15" t="s">
        <v>27</v>
      </c>
      <c r="D10" s="15" t="s">
        <v>30</v>
      </c>
      <c r="G10" s="15" t="s">
        <v>27</v>
      </c>
      <c r="H10" s="15" t="s">
        <v>30</v>
      </c>
    </row>
    <row r="11" spans="1:8" x14ac:dyDescent="0.35">
      <c r="A11" s="8" t="s">
        <v>3</v>
      </c>
      <c r="C11" s="16" t="s">
        <v>10</v>
      </c>
      <c r="D11" s="18">
        <f>SUMIF(Analysis_Sheet!C:C,C11, Analysis_Sheet!D:D )</f>
        <v>28290.74</v>
      </c>
      <c r="G11" s="16" t="s">
        <v>10</v>
      </c>
      <c r="H11" s="18">
        <f>SUMIFS(Analysis_Sheet!D:D, Analysis_Sheet!C:C, G11, Analysis_Sheet!H:H, "Overdue") + SUMIFS(Analysis_Sheet!D:D, Analysis_Sheet!C:C, G11, Analysis_Sheet!H:H, "Unpaid")</f>
        <v>5050.8999999999996</v>
      </c>
    </row>
    <row r="12" spans="1:8" ht="58.5" customHeight="1" x14ac:dyDescent="0.35">
      <c r="A12" s="8" t="s">
        <v>15</v>
      </c>
      <c r="D12" s="20" t="str">
        <f ca="1">_xlfn.FORMULATEXT(D11)</f>
        <v>=SOMMA.SE(Analysis_Sheet!C:C;C11; Analysis_Sheet!D:D )</v>
      </c>
      <c r="H12" s="21" t="str">
        <f ca="1">_xlfn.FORMULATEXT(H11)</f>
        <v>=SOMMA.PIÙ.SE(Analysis_Sheet!D:D; Analysis_Sheet!C:C; G11; Analysis_Sheet!H:H; "Overdue") + SOMMA.PIÙ.SE(Analysis_Sheet!D:D; Analysis_Sheet!C:C; G11; Analysis_Sheet!H:H; "Unpaid")</v>
      </c>
    </row>
    <row r="13" spans="1:8" x14ac:dyDescent="0.35">
      <c r="A13" s="8" t="s">
        <v>16</v>
      </c>
    </row>
    <row r="14" spans="1:8" x14ac:dyDescent="0.35">
      <c r="A14" s="8" t="s">
        <v>4</v>
      </c>
    </row>
    <row r="15" spans="1:8" x14ac:dyDescent="0.35">
      <c r="A15" s="8" t="s">
        <v>17</v>
      </c>
    </row>
    <row r="16" spans="1:8" x14ac:dyDescent="0.35">
      <c r="A16" s="8" t="s">
        <v>18</v>
      </c>
    </row>
    <row r="17" spans="1:1" x14ac:dyDescent="0.35">
      <c r="A17" s="8" t="s">
        <v>19</v>
      </c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  <row r="98" spans="1:1" x14ac:dyDescent="0.35">
      <c r="A98"/>
    </row>
    <row r="99" spans="1:1" x14ac:dyDescent="0.35">
      <c r="A99"/>
    </row>
    <row r="100" spans="1:1" x14ac:dyDescent="0.35">
      <c r="A100"/>
    </row>
    <row r="101" spans="1:1" x14ac:dyDescent="0.35">
      <c r="A101"/>
    </row>
    <row r="102" spans="1:1" x14ac:dyDescent="0.35">
      <c r="A102"/>
    </row>
    <row r="103" spans="1:1" x14ac:dyDescent="0.35">
      <c r="A103"/>
    </row>
    <row r="104" spans="1:1" x14ac:dyDescent="0.35">
      <c r="A104"/>
    </row>
    <row r="105" spans="1:1" x14ac:dyDescent="0.35">
      <c r="A105"/>
    </row>
    <row r="106" spans="1:1" x14ac:dyDescent="0.35">
      <c r="A106"/>
    </row>
    <row r="107" spans="1:1" x14ac:dyDescent="0.35">
      <c r="A107"/>
    </row>
    <row r="108" spans="1:1" x14ac:dyDescent="0.35">
      <c r="A108"/>
    </row>
    <row r="109" spans="1:1" x14ac:dyDescent="0.35">
      <c r="A109"/>
    </row>
    <row r="110" spans="1:1" x14ac:dyDescent="0.35">
      <c r="A110"/>
    </row>
    <row r="111" spans="1:1" x14ac:dyDescent="0.35">
      <c r="A111"/>
    </row>
    <row r="112" spans="1:1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  <row r="138" spans="1:1" x14ac:dyDescent="0.35">
      <c r="A138"/>
    </row>
    <row r="139" spans="1:1" x14ac:dyDescent="0.35">
      <c r="A139"/>
    </row>
    <row r="140" spans="1:1" x14ac:dyDescent="0.35">
      <c r="A140"/>
    </row>
    <row r="141" spans="1:1" x14ac:dyDescent="0.35">
      <c r="A141"/>
    </row>
    <row r="142" spans="1:1" x14ac:dyDescent="0.35">
      <c r="A142"/>
    </row>
    <row r="143" spans="1:1" x14ac:dyDescent="0.35">
      <c r="A143"/>
    </row>
    <row r="144" spans="1:1" x14ac:dyDescent="0.35">
      <c r="A144"/>
    </row>
    <row r="145" spans="1:1" x14ac:dyDescent="0.35">
      <c r="A145"/>
    </row>
    <row r="146" spans="1:1" x14ac:dyDescent="0.35">
      <c r="A146"/>
    </row>
    <row r="147" spans="1:1" x14ac:dyDescent="0.35">
      <c r="A147"/>
    </row>
    <row r="148" spans="1:1" x14ac:dyDescent="0.35">
      <c r="A148"/>
    </row>
    <row r="149" spans="1:1" x14ac:dyDescent="0.35">
      <c r="A149"/>
    </row>
    <row r="150" spans="1:1" x14ac:dyDescent="0.35">
      <c r="A150"/>
    </row>
    <row r="151" spans="1:1" x14ac:dyDescent="0.35">
      <c r="A151"/>
    </row>
    <row r="152" spans="1:1" x14ac:dyDescent="0.35">
      <c r="A152"/>
    </row>
    <row r="153" spans="1:1" x14ac:dyDescent="0.35">
      <c r="A153"/>
    </row>
    <row r="154" spans="1:1" x14ac:dyDescent="0.35">
      <c r="A154"/>
    </row>
    <row r="155" spans="1:1" x14ac:dyDescent="0.35">
      <c r="A155"/>
    </row>
    <row r="156" spans="1:1" x14ac:dyDescent="0.35">
      <c r="A156"/>
    </row>
    <row r="157" spans="1:1" x14ac:dyDescent="0.35">
      <c r="A157"/>
    </row>
    <row r="158" spans="1:1" x14ac:dyDescent="0.35">
      <c r="A158"/>
    </row>
    <row r="159" spans="1:1" x14ac:dyDescent="0.35">
      <c r="A159"/>
    </row>
    <row r="160" spans="1:1" x14ac:dyDescent="0.35">
      <c r="A160"/>
    </row>
    <row r="161" spans="1:1" x14ac:dyDescent="0.35">
      <c r="A161"/>
    </row>
    <row r="162" spans="1:1" x14ac:dyDescent="0.35">
      <c r="A162"/>
    </row>
    <row r="163" spans="1:1" x14ac:dyDescent="0.35">
      <c r="A163"/>
    </row>
    <row r="164" spans="1:1" x14ac:dyDescent="0.35">
      <c r="A164"/>
    </row>
    <row r="165" spans="1:1" x14ac:dyDescent="0.35">
      <c r="A165"/>
    </row>
    <row r="166" spans="1:1" x14ac:dyDescent="0.35">
      <c r="A166"/>
    </row>
    <row r="167" spans="1:1" x14ac:dyDescent="0.35">
      <c r="A167"/>
    </row>
    <row r="168" spans="1:1" x14ac:dyDescent="0.35">
      <c r="A168"/>
    </row>
    <row r="169" spans="1:1" x14ac:dyDescent="0.35">
      <c r="A169"/>
    </row>
    <row r="170" spans="1:1" x14ac:dyDescent="0.35">
      <c r="A170"/>
    </row>
    <row r="171" spans="1:1" x14ac:dyDescent="0.35">
      <c r="A171"/>
    </row>
    <row r="172" spans="1:1" x14ac:dyDescent="0.35">
      <c r="A172"/>
    </row>
    <row r="173" spans="1:1" x14ac:dyDescent="0.35">
      <c r="A173"/>
    </row>
    <row r="174" spans="1:1" x14ac:dyDescent="0.35">
      <c r="A174"/>
    </row>
    <row r="175" spans="1:1" x14ac:dyDescent="0.35">
      <c r="A175"/>
    </row>
    <row r="176" spans="1:1" x14ac:dyDescent="0.35">
      <c r="A176"/>
    </row>
    <row r="177" spans="1:1" x14ac:dyDescent="0.35">
      <c r="A177"/>
    </row>
    <row r="178" spans="1:1" x14ac:dyDescent="0.35">
      <c r="A178"/>
    </row>
    <row r="179" spans="1:1" x14ac:dyDescent="0.35">
      <c r="A179"/>
    </row>
    <row r="180" spans="1:1" x14ac:dyDescent="0.35">
      <c r="A180"/>
    </row>
    <row r="181" spans="1:1" x14ac:dyDescent="0.35">
      <c r="A181"/>
    </row>
    <row r="182" spans="1:1" x14ac:dyDescent="0.35">
      <c r="A182"/>
    </row>
    <row r="183" spans="1:1" x14ac:dyDescent="0.35">
      <c r="A183"/>
    </row>
    <row r="184" spans="1:1" x14ac:dyDescent="0.35">
      <c r="A184"/>
    </row>
    <row r="185" spans="1:1" x14ac:dyDescent="0.35">
      <c r="A185"/>
    </row>
    <row r="186" spans="1:1" x14ac:dyDescent="0.35">
      <c r="A186"/>
    </row>
    <row r="187" spans="1:1" x14ac:dyDescent="0.35">
      <c r="A187"/>
    </row>
    <row r="188" spans="1:1" x14ac:dyDescent="0.35">
      <c r="A188"/>
    </row>
    <row r="189" spans="1:1" x14ac:dyDescent="0.35">
      <c r="A189"/>
    </row>
    <row r="190" spans="1:1" x14ac:dyDescent="0.35">
      <c r="A190"/>
    </row>
    <row r="191" spans="1:1" x14ac:dyDescent="0.35">
      <c r="A191"/>
    </row>
    <row r="192" spans="1:1" x14ac:dyDescent="0.35">
      <c r="A192"/>
    </row>
    <row r="193" spans="1:1" x14ac:dyDescent="0.35">
      <c r="A193"/>
    </row>
    <row r="194" spans="1:1" x14ac:dyDescent="0.35">
      <c r="A194"/>
    </row>
    <row r="195" spans="1:1" x14ac:dyDescent="0.35">
      <c r="A195"/>
    </row>
    <row r="196" spans="1:1" x14ac:dyDescent="0.35">
      <c r="A196"/>
    </row>
    <row r="197" spans="1:1" x14ac:dyDescent="0.35">
      <c r="A197"/>
    </row>
    <row r="198" spans="1:1" x14ac:dyDescent="0.35">
      <c r="A198"/>
    </row>
    <row r="199" spans="1:1" x14ac:dyDescent="0.35">
      <c r="A199"/>
    </row>
    <row r="200" spans="1:1" x14ac:dyDescent="0.35">
      <c r="A200"/>
    </row>
    <row r="201" spans="1:1" x14ac:dyDescent="0.35">
      <c r="A201"/>
    </row>
  </sheetData>
  <mergeCells count="4">
    <mergeCell ref="C2:D2"/>
    <mergeCell ref="C9:D9"/>
    <mergeCell ref="G2:H2"/>
    <mergeCell ref="G9:H9"/>
  </mergeCells>
  <dataValidations count="1">
    <dataValidation type="list" allowBlank="1" showInputMessage="1" showErrorMessage="1" sqref="C11 G11 C4 G4" xr:uid="{DF3C6C81-16D2-4586-94DA-3AE0330AC6DC}">
      <formula1>$A$2:$A$17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593E3-7876-49B2-AB89-4C24A8E228CA}">
  <dimension ref="A1:AA18"/>
  <sheetViews>
    <sheetView tabSelected="1" topLeftCell="Y1" zoomScale="70" zoomScaleNormal="70" workbookViewId="0">
      <selection activeCell="AR22" sqref="AR22"/>
    </sheetView>
  </sheetViews>
  <sheetFormatPr defaultRowHeight="14.5" x14ac:dyDescent="0.35"/>
  <cols>
    <col min="1" max="1" width="17.6328125" bestFit="1" customWidth="1"/>
    <col min="2" max="2" width="22" bestFit="1" customWidth="1"/>
    <col min="13" max="13" width="17.6328125" bestFit="1" customWidth="1"/>
    <col min="14" max="14" width="12.36328125" bestFit="1" customWidth="1"/>
    <col min="26" max="26" width="12.36328125" bestFit="1" customWidth="1"/>
    <col min="27" max="27" width="12.1796875" bestFit="1" customWidth="1"/>
  </cols>
  <sheetData>
    <row r="1" spans="1:27" x14ac:dyDescent="0.35">
      <c r="A1" s="22" t="s">
        <v>23</v>
      </c>
      <c r="B1" t="s">
        <v>36</v>
      </c>
      <c r="M1" s="22" t="s">
        <v>23</v>
      </c>
      <c r="N1" t="s">
        <v>30</v>
      </c>
      <c r="Z1" s="22" t="s">
        <v>5</v>
      </c>
      <c r="AA1" t="s">
        <v>38</v>
      </c>
    </row>
    <row r="2" spans="1:27" x14ac:dyDescent="0.35">
      <c r="A2" s="9" t="s">
        <v>33</v>
      </c>
      <c r="B2">
        <v>15</v>
      </c>
      <c r="M2" s="9" t="s">
        <v>33</v>
      </c>
      <c r="N2" s="23">
        <v>59063.4</v>
      </c>
      <c r="Z2" s="9" t="s">
        <v>3</v>
      </c>
      <c r="AA2" s="26">
        <v>87093.3</v>
      </c>
    </row>
    <row r="3" spans="1:27" x14ac:dyDescent="0.35">
      <c r="A3" s="9" t="s">
        <v>34</v>
      </c>
      <c r="B3">
        <v>145</v>
      </c>
      <c r="M3" s="9" t="s">
        <v>34</v>
      </c>
      <c r="N3" s="23">
        <v>601412.84000000008</v>
      </c>
      <c r="Z3" s="9" t="s">
        <v>1</v>
      </c>
      <c r="AA3" s="26">
        <v>84414</v>
      </c>
    </row>
    <row r="4" spans="1:27" x14ac:dyDescent="0.35">
      <c r="A4" s="9" t="s">
        <v>35</v>
      </c>
      <c r="B4">
        <v>40</v>
      </c>
      <c r="M4" s="9" t="s">
        <v>35</v>
      </c>
      <c r="N4" s="23">
        <v>164252.51</v>
      </c>
      <c r="Z4" s="9" t="s">
        <v>0</v>
      </c>
      <c r="AA4" s="26">
        <v>76889.8</v>
      </c>
    </row>
    <row r="5" spans="1:27" x14ac:dyDescent="0.35">
      <c r="A5" s="9" t="s">
        <v>37</v>
      </c>
      <c r="B5">
        <v>200</v>
      </c>
      <c r="M5" s="9" t="s">
        <v>37</v>
      </c>
      <c r="N5" s="23">
        <v>824728.75000000012</v>
      </c>
      <c r="Z5" s="9" t="s">
        <v>11</v>
      </c>
      <c r="AA5" s="26">
        <v>63524</v>
      </c>
    </row>
    <row r="6" spans="1:27" x14ac:dyDescent="0.35">
      <c r="Z6" s="9" t="s">
        <v>16</v>
      </c>
      <c r="AA6" s="26">
        <v>62450</v>
      </c>
    </row>
    <row r="7" spans="1:27" x14ac:dyDescent="0.35">
      <c r="Z7" s="9" t="s">
        <v>9</v>
      </c>
      <c r="AA7" s="26">
        <v>61494.36</v>
      </c>
    </row>
    <row r="8" spans="1:27" x14ac:dyDescent="0.35">
      <c r="Z8" s="9" t="s">
        <v>2</v>
      </c>
      <c r="AA8" s="26">
        <v>55903.979999999996</v>
      </c>
    </row>
    <row r="9" spans="1:27" x14ac:dyDescent="0.35">
      <c r="Z9" s="9" t="s">
        <v>18</v>
      </c>
      <c r="AA9" s="26">
        <v>51475.8</v>
      </c>
    </row>
    <row r="10" spans="1:27" x14ac:dyDescent="0.35">
      <c r="Z10" s="9" t="s">
        <v>13</v>
      </c>
      <c r="AA10" s="26">
        <v>48792.619999999995</v>
      </c>
    </row>
    <row r="11" spans="1:27" x14ac:dyDescent="0.35">
      <c r="Z11" s="9" t="s">
        <v>4</v>
      </c>
      <c r="AA11" s="26">
        <v>48190</v>
      </c>
    </row>
    <row r="12" spans="1:27" x14ac:dyDescent="0.35">
      <c r="Z12" s="9" t="s">
        <v>14</v>
      </c>
      <c r="AA12" s="26">
        <v>44341.479999999996</v>
      </c>
    </row>
    <row r="13" spans="1:27" x14ac:dyDescent="0.35">
      <c r="Z13" s="9" t="s">
        <v>17</v>
      </c>
      <c r="AA13" s="26">
        <v>37947.1</v>
      </c>
    </row>
    <row r="14" spans="1:27" x14ac:dyDescent="0.35">
      <c r="Z14" s="9" t="s">
        <v>15</v>
      </c>
      <c r="AA14" s="26">
        <v>33615.4</v>
      </c>
    </row>
    <row r="15" spans="1:27" x14ac:dyDescent="0.35">
      <c r="Z15" s="9" t="s">
        <v>10</v>
      </c>
      <c r="AA15" s="26">
        <v>28290.74</v>
      </c>
    </row>
    <row r="16" spans="1:27" x14ac:dyDescent="0.35">
      <c r="Z16" s="9" t="s">
        <v>12</v>
      </c>
      <c r="AA16" s="26">
        <v>23166.67</v>
      </c>
    </row>
    <row r="17" spans="26:27" x14ac:dyDescent="0.35">
      <c r="Z17" s="9" t="s">
        <v>19</v>
      </c>
      <c r="AA17" s="26">
        <v>17139.5</v>
      </c>
    </row>
    <row r="18" spans="26:27" x14ac:dyDescent="0.35">
      <c r="Z18" s="9" t="s">
        <v>30</v>
      </c>
      <c r="AA18" s="26">
        <v>824728.75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Invoice_Master_Data</vt:lpstr>
      <vt:lpstr>Analysis_Sheet</vt:lpstr>
      <vt:lpstr>Dashboard</vt:lpstr>
      <vt:lpstr>Reporting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forte</dc:creator>
  <cp:lastModifiedBy>renato forte</cp:lastModifiedBy>
  <dcterms:created xsi:type="dcterms:W3CDTF">2025-11-20T21:27:17Z</dcterms:created>
  <dcterms:modified xsi:type="dcterms:W3CDTF">2025-12-01T22:30:03Z</dcterms:modified>
</cp:coreProperties>
</file>