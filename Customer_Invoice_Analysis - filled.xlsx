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9F8C56B1-7108-4AC9-A758-5997A6EFBC7D}" xr6:coauthVersionLast="47" xr6:coauthVersionMax="47" xr10:uidLastSave="{00000000-0000-0000-0000-000000000000}"/>
  <bookViews>
    <workbookView xWindow="-110" yWindow="-110" windowWidth="19420" windowHeight="10300" activeTab="2" xr2:uid="{56643878-06B9-462D-81B7-435828026F01}"/>
  </bookViews>
  <sheets>
    <sheet name="Invoice_Master_Data" sheetId="1" r:id="rId1"/>
    <sheet name="Analysis_Sheet" sheetId="2" r:id="rId2"/>
    <sheet name="Dashboard" sheetId="3" r:id="rId3"/>
    <sheet name="Reporting" sheetId="4" r:id="rId4"/>
  </sheets>
  <definedNames>
    <definedName name="_xlnm._FilterDatabase" localSheetId="1" hidden="1">Analysis_Sheet!$I$1:$I$201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3" l="1"/>
  <c r="D4" i="3"/>
  <c r="D5" i="3"/>
  <c r="H5" i="3"/>
  <c r="D12" i="3"/>
  <c r="H12" i="3"/>
  <c r="H3" i="2" l="1"/>
  <c r="I3" i="2" s="1"/>
  <c r="H4" i="2"/>
  <c r="I4" i="2" s="1"/>
  <c r="H5" i="2"/>
  <c r="I5" i="2" s="1"/>
  <c r="H6" i="2"/>
  <c r="I6" i="2" s="1"/>
  <c r="H7" i="2"/>
  <c r="I7" i="2" s="1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H51" i="2"/>
  <c r="I51" i="2" s="1"/>
  <c r="H52" i="2"/>
  <c r="I52" i="2" s="1"/>
  <c r="H53" i="2"/>
  <c r="I53" i="2" s="1"/>
  <c r="H54" i="2"/>
  <c r="I54" i="2" s="1"/>
  <c r="H55" i="2"/>
  <c r="I55" i="2" s="1"/>
  <c r="H56" i="2"/>
  <c r="I56" i="2" s="1"/>
  <c r="H57" i="2"/>
  <c r="I57" i="2" s="1"/>
  <c r="H58" i="2"/>
  <c r="I58" i="2" s="1"/>
  <c r="H59" i="2"/>
  <c r="I59" i="2" s="1"/>
  <c r="H60" i="2"/>
  <c r="I60" i="2" s="1"/>
  <c r="H61" i="2"/>
  <c r="I61" i="2" s="1"/>
  <c r="H62" i="2"/>
  <c r="I62" i="2" s="1"/>
  <c r="H63" i="2"/>
  <c r="I63" i="2" s="1"/>
  <c r="H64" i="2"/>
  <c r="I64" i="2" s="1"/>
  <c r="H65" i="2"/>
  <c r="I65" i="2" s="1"/>
  <c r="H66" i="2"/>
  <c r="I66" i="2" s="1"/>
  <c r="H67" i="2"/>
  <c r="I67" i="2" s="1"/>
  <c r="H68" i="2"/>
  <c r="I68" i="2" s="1"/>
  <c r="H69" i="2"/>
  <c r="I69" i="2" s="1"/>
  <c r="H70" i="2"/>
  <c r="I70" i="2" s="1"/>
  <c r="H71" i="2"/>
  <c r="I71" i="2" s="1"/>
  <c r="H72" i="2"/>
  <c r="I72" i="2" s="1"/>
  <c r="H73" i="2"/>
  <c r="I73" i="2" s="1"/>
  <c r="H74" i="2"/>
  <c r="I74" i="2" s="1"/>
  <c r="H75" i="2"/>
  <c r="I75" i="2" s="1"/>
  <c r="H76" i="2"/>
  <c r="I76" i="2" s="1"/>
  <c r="H77" i="2"/>
  <c r="I77" i="2" s="1"/>
  <c r="H78" i="2"/>
  <c r="I78" i="2" s="1"/>
  <c r="H79" i="2"/>
  <c r="I79" i="2" s="1"/>
  <c r="H80" i="2"/>
  <c r="I80" i="2" s="1"/>
  <c r="H81" i="2"/>
  <c r="I81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89" i="2"/>
  <c r="I89" i="2" s="1"/>
  <c r="H90" i="2"/>
  <c r="I90" i="2" s="1"/>
  <c r="H91" i="2"/>
  <c r="I91" i="2" s="1"/>
  <c r="H92" i="2"/>
  <c r="I92" i="2" s="1"/>
  <c r="H93" i="2"/>
  <c r="I93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0" i="2"/>
  <c r="I100" i="2" s="1"/>
  <c r="H101" i="2"/>
  <c r="I101" i="2" s="1"/>
  <c r="H102" i="2"/>
  <c r="I102" i="2" s="1"/>
  <c r="H103" i="2"/>
  <c r="I103" i="2" s="1"/>
  <c r="H104" i="2"/>
  <c r="I104" i="2" s="1"/>
  <c r="H105" i="2"/>
  <c r="I105" i="2" s="1"/>
  <c r="H106" i="2"/>
  <c r="I106" i="2" s="1"/>
  <c r="H107" i="2"/>
  <c r="I107" i="2" s="1"/>
  <c r="H108" i="2"/>
  <c r="I108" i="2" s="1"/>
  <c r="H109" i="2"/>
  <c r="I109" i="2" s="1"/>
  <c r="H110" i="2"/>
  <c r="I110" i="2" s="1"/>
  <c r="H111" i="2"/>
  <c r="I111" i="2" s="1"/>
  <c r="H112" i="2"/>
  <c r="I112" i="2" s="1"/>
  <c r="H113" i="2"/>
  <c r="I113" i="2" s="1"/>
  <c r="H114" i="2"/>
  <c r="I114" i="2" s="1"/>
  <c r="H115" i="2"/>
  <c r="I115" i="2" s="1"/>
  <c r="H116" i="2"/>
  <c r="I116" i="2" s="1"/>
  <c r="H117" i="2"/>
  <c r="I117" i="2" s="1"/>
  <c r="H118" i="2"/>
  <c r="I118" i="2" s="1"/>
  <c r="H119" i="2"/>
  <c r="I119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34" i="2"/>
  <c r="I134" i="2" s="1"/>
  <c r="H135" i="2"/>
  <c r="I135" i="2" s="1"/>
  <c r="H136" i="2"/>
  <c r="I136" i="2" s="1"/>
  <c r="H137" i="2"/>
  <c r="I137" i="2" s="1"/>
  <c r="H138" i="2"/>
  <c r="I138" i="2" s="1"/>
  <c r="H139" i="2"/>
  <c r="I139" i="2" s="1"/>
  <c r="H140" i="2"/>
  <c r="I140" i="2" s="1"/>
  <c r="H141" i="2"/>
  <c r="I141" i="2" s="1"/>
  <c r="H142" i="2"/>
  <c r="I142" i="2" s="1"/>
  <c r="H143" i="2"/>
  <c r="I143" i="2" s="1"/>
  <c r="H144" i="2"/>
  <c r="I144" i="2" s="1"/>
  <c r="H145" i="2"/>
  <c r="I145" i="2" s="1"/>
  <c r="H146" i="2"/>
  <c r="I146" i="2" s="1"/>
  <c r="H147" i="2"/>
  <c r="I147" i="2" s="1"/>
  <c r="H148" i="2"/>
  <c r="I148" i="2" s="1"/>
  <c r="H149" i="2"/>
  <c r="I149" i="2" s="1"/>
  <c r="H150" i="2"/>
  <c r="I150" i="2" s="1"/>
  <c r="H151" i="2"/>
  <c r="I151" i="2" s="1"/>
  <c r="H152" i="2"/>
  <c r="I152" i="2" s="1"/>
  <c r="H153" i="2"/>
  <c r="I153" i="2" s="1"/>
  <c r="H154" i="2"/>
  <c r="I154" i="2" s="1"/>
  <c r="H155" i="2"/>
  <c r="I155" i="2" s="1"/>
  <c r="H156" i="2"/>
  <c r="I156" i="2" s="1"/>
  <c r="H157" i="2"/>
  <c r="I157" i="2" s="1"/>
  <c r="H158" i="2"/>
  <c r="I158" i="2" s="1"/>
  <c r="H159" i="2"/>
  <c r="I159" i="2" s="1"/>
  <c r="H160" i="2"/>
  <c r="I160" i="2" s="1"/>
  <c r="H161" i="2"/>
  <c r="I161" i="2" s="1"/>
  <c r="H162" i="2"/>
  <c r="I162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0" i="2"/>
  <c r="I170" i="2" s="1"/>
  <c r="H171" i="2"/>
  <c r="I171" i="2" s="1"/>
  <c r="H172" i="2"/>
  <c r="I172" i="2" s="1"/>
  <c r="H173" i="2"/>
  <c r="I173" i="2" s="1"/>
  <c r="H174" i="2"/>
  <c r="I174" i="2" s="1"/>
  <c r="H175" i="2"/>
  <c r="I175" i="2" s="1"/>
  <c r="H176" i="2"/>
  <c r="I176" i="2" s="1"/>
  <c r="H177" i="2"/>
  <c r="I177" i="2" s="1"/>
  <c r="H178" i="2"/>
  <c r="I178" i="2" s="1"/>
  <c r="H179" i="2"/>
  <c r="I179" i="2" s="1"/>
  <c r="H180" i="2"/>
  <c r="I180" i="2" s="1"/>
  <c r="H181" i="2"/>
  <c r="I181" i="2" s="1"/>
  <c r="H182" i="2"/>
  <c r="I182" i="2" s="1"/>
  <c r="H183" i="2"/>
  <c r="I183" i="2" s="1"/>
  <c r="H184" i="2"/>
  <c r="I184" i="2" s="1"/>
  <c r="H185" i="2"/>
  <c r="I185" i="2" s="1"/>
  <c r="H186" i="2"/>
  <c r="I186" i="2" s="1"/>
  <c r="H187" i="2"/>
  <c r="I187" i="2" s="1"/>
  <c r="H188" i="2"/>
  <c r="I188" i="2" s="1"/>
  <c r="H189" i="2"/>
  <c r="I189" i="2" s="1"/>
  <c r="H190" i="2"/>
  <c r="I190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" i="2"/>
  <c r="H11" i="3" l="1"/>
  <c r="H4" i="3"/>
  <c r="I2" i="2"/>
</calcChain>
</file>

<file path=xl/sharedStrings.xml><?xml version="1.0" encoding="utf-8"?>
<sst xmlns="http://schemas.openxmlformats.org/spreadsheetml/2006/main" count="481" uniqueCount="39">
  <si>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</si>
  <si>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</si>
  <si>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</si>
  <si>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</si>
  <si>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</si>
  <si>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</si>
  <si>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</si>
  <si>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</si>
  <si>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</si>
  <si>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</si>
  <si>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</si>
  <si>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</si>
  <si>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</si>
  <si>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</si>
  <si>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</si>
  <si>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</si>
  <si>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</si>
  <si>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</si>
  <si>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</si>
  <si>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</si>
  <si>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</si>
  <si>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</si>
  <si>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</si>
  <si>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</si>
  <si>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</si>
  <si>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</si>
  <si>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</si>
  <si>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</si>
  <si>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</si>
  <si>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</si>
  <si>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</si>
  <si>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</si>
  <si>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</si>
  <si>
    <t>Overdue</t>
  </si>
  <si>
    <t>Paid</t>
  </si>
  <si>
    <t>Unpaid</t>
  </si>
  <si>
    <t>Count of Invoice Number</t>
  </si>
  <si>
    <t>Total</t>
  </si>
  <si>
    <t>Invoice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</si>
</sst>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#,##0.00\ &quot;€&quot;;\-#,##0.00\ &quot;€&quot;"/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7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pivotButton="1"/>
    <xf numFmtId="7" fontId="0" fillId="0" borderId="0" xfId="0" applyNumberFormat="1"/>
    <xf numFmtId="164" fontId="0" fillId="0" borderId="0" xfId="0" applyNumberFormat="1"/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FFFF"/>
      <color rgb="FFFF3333"/>
      <color rgb="FF72AF2F"/>
      <color rgb="FF85CA3A"/>
      <color rgb="FFFF5D5D"/>
      <color rgb="FFFF8B8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Invoice</a:t>
            </a:r>
            <a:r>
              <a:rPr lang="en-US" b="1" baseline="0">
                <a:solidFill>
                  <a:sysClr val="windowText" lastClr="000000"/>
                </a:solidFill>
              </a:rPr>
              <a:t> Status Percentages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9305555555555557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72AF2F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5.6396544181977253E-2"/>
              <c:y val="-1.11271507728200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FF3333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4">
              <a:lumMod val="60000"/>
              <a:lumOff val="40000"/>
            </a:schemeClr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136334208223972"/>
              <c:y val="-8.42592592592592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180"/>
      <c:depthPercent val="100"/>
      <c:rAngAx val="0"/>
      <c:perspective val="4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0"/>
        <c:ser>
          <c:idx val="0"/>
          <c:order val="0"/>
          <c:tx>
            <c:strRef>
              <c:f>Reporting!$B$1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 w="25400">
              <a:solidFill>
                <a:schemeClr val="lt1"/>
              </a:solidFill>
            </a:ln>
            <a:effectLst/>
            <a:sp3d contourW="25400">
              <a:contourClr>
                <a:schemeClr val="lt1"/>
              </a:contourClr>
            </a:sp3d>
          </c:spPr>
          <c:dPt>
            <c:idx val="0"/>
            <c:bubble3D val="0"/>
            <c:spPr>
              <a:solidFill>
                <a:srgbClr val="FF333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514-443A-A239-FE903773C8F8}"/>
              </c:ext>
            </c:extLst>
          </c:dPt>
          <c:dPt>
            <c:idx val="1"/>
            <c:bubble3D val="0"/>
            <c:spPr>
              <a:solidFill>
                <a:srgbClr val="72AF2F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514-443A-A239-FE903773C8F8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514-443A-A239-FE903773C8F8}"/>
              </c:ext>
            </c:extLst>
          </c:dPt>
          <c:dLbls>
            <c:dLbl>
              <c:idx val="1"/>
              <c:layout>
                <c:manualLayout>
                  <c:x val="-5.6396544181977253E-2"/>
                  <c:y val="-1.11271507728200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14-443A-A239-FE903773C8F8}"/>
                </c:ext>
              </c:extLst>
            </c:dLbl>
            <c:dLbl>
              <c:idx val="2"/>
              <c:layout>
                <c:manualLayout>
                  <c:x val="0.1136334208223972"/>
                  <c:y val="-8.42592592592592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514-443A-A239-FE903773C8F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Reporting!$A$2:$A$5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Reporting!$B$2:$B$5</c:f>
              <c:numCache>
                <c:formatCode>General</c:formatCode>
                <c:ptCount val="3"/>
                <c:pt idx="0">
                  <c:v>15</c:v>
                </c:pt>
                <c:pt idx="1">
                  <c:v>145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4-443A-A239-FE903773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61111111111112"/>
          <c:y val="0.19146908719743369"/>
          <c:w val="0.20569210866752913"/>
          <c:h val="0.30555500182730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>
                <a:solidFill>
                  <a:sysClr val="windowText" lastClr="000000"/>
                </a:solidFill>
              </a:rPr>
              <a:t>Total Amount by Status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0380047505938155E-2"/>
              <c:y val="-2.9850746268656716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942BA4-0C50-4C5A-A197-3A03DA61886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8503562945368172E-2"/>
              <c:y val="-3.731343283582089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4A24557-3CD7-4588-A9F7-722907E42AB2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3.0878859857482184E-2"/>
              <c:y val="-5.223880597014925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83E96BF-0F40-4B6D-A449-9905BEA67D2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Reporting!$N$1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EF11-47A1-A1B7-BB56E86EE4F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F11-47A1-A1B7-BB56E86EE4F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11-47A1-A1B7-BB56E86EE4FD}"/>
              </c:ext>
            </c:extLst>
          </c:dPt>
          <c:dLbls>
            <c:dLbl>
              <c:idx val="0"/>
              <c:layout>
                <c:manualLayout>
                  <c:x val="2.8503562945368172E-2"/>
                  <c:y val="-3.7313432835820892E-2"/>
                </c:manualLayout>
              </c:layout>
              <c:tx>
                <c:rich>
                  <a:bodyPr/>
                  <a:lstStyle/>
                  <a:p>
                    <a:fld id="{E4A24557-3CD7-4588-A9F7-722907E42AB2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F11-47A1-A1B7-BB56E86EE4FD}"/>
                </c:ext>
              </c:extLst>
            </c:dLbl>
            <c:dLbl>
              <c:idx val="1"/>
              <c:layout>
                <c:manualLayout>
                  <c:x val="3.0878859857482184E-2"/>
                  <c:y val="-5.2238805970149252E-2"/>
                </c:manualLayout>
              </c:layout>
              <c:tx>
                <c:rich>
                  <a:bodyPr/>
                  <a:lstStyle/>
                  <a:p>
                    <a:fld id="{883E96BF-0F40-4B6D-A449-9905BEA67D2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F11-47A1-A1B7-BB56E86EE4FD}"/>
                </c:ext>
              </c:extLst>
            </c:dLbl>
            <c:dLbl>
              <c:idx val="2"/>
              <c:layout>
                <c:manualLayout>
                  <c:x val="4.0380047505938155E-2"/>
                  <c:y val="-2.9850746268656716E-2"/>
                </c:manualLayout>
              </c:layout>
              <c:tx>
                <c:rich>
                  <a:bodyPr/>
                  <a:lstStyle/>
                  <a:p>
                    <a:fld id="{A0942BA4-0C50-4C5A-A197-3A03DA61886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F11-47A1-A1B7-BB56E86EE4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Reporting!$M$2:$M$5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Reporting!$N$2:$N$5</c:f>
              <c:numCache>
                <c:formatCode>"€"#,##0.00_);\("€"#,##0.00\)</c:formatCode>
                <c:ptCount val="3"/>
                <c:pt idx="0">
                  <c:v>59063.4</c:v>
                </c:pt>
                <c:pt idx="1">
                  <c:v>601412.84000000008</c:v>
                </c:pt>
                <c:pt idx="2">
                  <c:v>164252.51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1-47A1-A1B7-BB56E86EE4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78361055"/>
        <c:axId val="480384495"/>
        <c:axId val="0"/>
      </c:bar3DChart>
      <c:catAx>
        <c:axId val="47836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80384495"/>
        <c:crosses val="autoZero"/>
        <c:auto val="1"/>
        <c:lblAlgn val="ctr"/>
        <c:lblOffset val="100"/>
        <c:noMultiLvlLbl val="0"/>
      </c:catAx>
      <c:valAx>
        <c:axId val="480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3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/>
              <a:t>Total Amount by Customer</a:t>
            </a:r>
            <a:r>
              <a:rPr lang="it-IT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Reporting!$AA$1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Reporting!$Z$2:$Z$18</c:f>
              <c:strCache>
                <c:ptCount val="16"/>
                <c:pt idx="0">
                  <c:v>Risti</c:v>
                </c:pt>
                <c:pt idx="1">
                  <c:v>Villani</c:v>
                </c:pt>
                <c:pt idx="2">
                  <c:v>Sereni</c:v>
                </c:pt>
                <c:pt idx="3">
                  <c:v>Pinca S.</c:v>
                </c:pt>
                <c:pt idx="4">
                  <c:v>Bianchi A.</c:v>
                </c:pt>
                <c:pt idx="5">
                  <c:v>Scottà</c:v>
                </c:pt>
                <c:pt idx="6">
                  <c:v>Trefoloni</c:v>
                </c:pt>
                <c:pt idx="7">
                  <c:v>Marini E.</c:v>
                </c:pt>
                <c:pt idx="8">
                  <c:v>Lanza A.</c:v>
                </c:pt>
                <c:pt idx="9">
                  <c:v>Fornari</c:v>
                </c:pt>
                <c:pt idx="10">
                  <c:v>Pinca V.</c:v>
                </c:pt>
                <c:pt idx="11">
                  <c:v>Lanza C.</c:v>
                </c:pt>
                <c:pt idx="12">
                  <c:v>Rossi F.</c:v>
                </c:pt>
                <c:pt idx="13">
                  <c:v>Rossi M.</c:v>
                </c:pt>
                <c:pt idx="14">
                  <c:v>Bianchi R.</c:v>
                </c:pt>
                <c:pt idx="15">
                  <c:v>Marini G.</c:v>
                </c:pt>
              </c:strCache>
            </c:strRef>
          </c:cat>
          <c:val>
            <c:numRef>
              <c:f>Reporting!$AA$2:$AA$18</c:f>
              <c:numCache>
                <c:formatCode>_-"€"* #,##0.00_-;\-"€"* #,##0.00_-;_-"€"* "-"??_-;_-@_-</c:formatCode>
                <c:ptCount val="16"/>
                <c:pt idx="0">
                  <c:v>87093.3</c:v>
                </c:pt>
                <c:pt idx="1">
                  <c:v>84414</c:v>
                </c:pt>
                <c:pt idx="2">
                  <c:v>76889.8</c:v>
                </c:pt>
                <c:pt idx="3">
                  <c:v>63524</c:v>
                </c:pt>
                <c:pt idx="4">
                  <c:v>62450</c:v>
                </c:pt>
                <c:pt idx="5">
                  <c:v>61494.36</c:v>
                </c:pt>
                <c:pt idx="6">
                  <c:v>55903.979999999996</c:v>
                </c:pt>
                <c:pt idx="7">
                  <c:v>51475.8</c:v>
                </c:pt>
                <c:pt idx="8">
                  <c:v>48792.619999999995</c:v>
                </c:pt>
                <c:pt idx="9">
                  <c:v>48190</c:v>
                </c:pt>
                <c:pt idx="10">
                  <c:v>44341.479999999996</c:v>
                </c:pt>
                <c:pt idx="11">
                  <c:v>37947.1</c:v>
                </c:pt>
                <c:pt idx="12">
                  <c:v>33615.4</c:v>
                </c:pt>
                <c:pt idx="13">
                  <c:v>28290.74</c:v>
                </c:pt>
                <c:pt idx="14">
                  <c:v>23166.67</c:v>
                </c:pt>
                <c:pt idx="15">
                  <c:v>17139.5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7B-4B3D-AFAA-49FFEDA15B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71606383"/>
        <c:axId val="1871593903"/>
      </c:barChart>
      <c:catAx>
        <c:axId val="187160638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1593903"/>
        <c:crosses val="autoZero"/>
        <c:auto val="1"/>
        <c:lblAlgn val="ctr"/>
        <c:lblOffset val="100"/>
        <c:noMultiLvlLbl val="0"/>
      </c:catAx>
      <c:valAx>
        <c:axId val="1871593903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0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1606383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600" b="1" i="0" u="none" strike="noStrike" baseline="0"/>
              <a:t>Late Payment Trend Analysis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Analysis_Sheet!$I$1</c:f>
              <c:strCache>
                <c:ptCount val="1"/>
                <c:pt idx="0">
                  <c:v>Days Overdue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Analysis_Sheet!$D$2:$D$201</c:f>
              <c:numCache>
                <c:formatCode>_-"€"* #,##0.00_-;\-"€"* #,##0.00_-;_-"€"* "-"??_-;_-@_-</c:formatCode>
                <c:ptCount val="200"/>
                <c:pt idx="0">
                  <c:v>450</c:v>
                </c:pt>
                <c:pt idx="1">
                  <c:v>3562</c:v>
                </c:pt>
                <c:pt idx="2">
                  <c:v>2700</c:v>
                </c:pt>
                <c:pt idx="3">
                  <c:v>399.36</c:v>
                </c:pt>
                <c:pt idx="4">
                  <c:v>960</c:v>
                </c:pt>
                <c:pt idx="5">
                  <c:v>7916.67</c:v>
                </c:pt>
                <c:pt idx="6">
                  <c:v>3360</c:v>
                </c:pt>
                <c:pt idx="7">
                  <c:v>1839.36</c:v>
                </c:pt>
                <c:pt idx="8">
                  <c:v>477.48</c:v>
                </c:pt>
                <c:pt idx="9">
                  <c:v>750</c:v>
                </c:pt>
                <c:pt idx="10">
                  <c:v>750</c:v>
                </c:pt>
                <c:pt idx="11">
                  <c:v>3284.5</c:v>
                </c:pt>
                <c:pt idx="12">
                  <c:v>4320</c:v>
                </c:pt>
                <c:pt idx="13">
                  <c:v>9600</c:v>
                </c:pt>
                <c:pt idx="14">
                  <c:v>234</c:v>
                </c:pt>
                <c:pt idx="15">
                  <c:v>12000</c:v>
                </c:pt>
                <c:pt idx="16">
                  <c:v>123</c:v>
                </c:pt>
                <c:pt idx="17">
                  <c:v>790</c:v>
                </c:pt>
                <c:pt idx="18">
                  <c:v>580</c:v>
                </c:pt>
                <c:pt idx="19">
                  <c:v>2112.6</c:v>
                </c:pt>
                <c:pt idx="20">
                  <c:v>1980</c:v>
                </c:pt>
                <c:pt idx="21">
                  <c:v>534</c:v>
                </c:pt>
                <c:pt idx="22">
                  <c:v>8600</c:v>
                </c:pt>
                <c:pt idx="23">
                  <c:v>1600</c:v>
                </c:pt>
                <c:pt idx="24">
                  <c:v>1050</c:v>
                </c:pt>
                <c:pt idx="25">
                  <c:v>4100</c:v>
                </c:pt>
                <c:pt idx="26">
                  <c:v>20112.62</c:v>
                </c:pt>
                <c:pt idx="27">
                  <c:v>1450</c:v>
                </c:pt>
                <c:pt idx="28">
                  <c:v>23456</c:v>
                </c:pt>
                <c:pt idx="29">
                  <c:v>400</c:v>
                </c:pt>
                <c:pt idx="30">
                  <c:v>750</c:v>
                </c:pt>
                <c:pt idx="31">
                  <c:v>3400</c:v>
                </c:pt>
                <c:pt idx="32">
                  <c:v>1560</c:v>
                </c:pt>
                <c:pt idx="33">
                  <c:v>2100</c:v>
                </c:pt>
                <c:pt idx="34">
                  <c:v>9600</c:v>
                </c:pt>
                <c:pt idx="35">
                  <c:v>4259.9399999999996</c:v>
                </c:pt>
                <c:pt idx="36">
                  <c:v>230</c:v>
                </c:pt>
                <c:pt idx="37">
                  <c:v>3200</c:v>
                </c:pt>
                <c:pt idx="38">
                  <c:v>6780</c:v>
                </c:pt>
                <c:pt idx="39">
                  <c:v>477.48</c:v>
                </c:pt>
                <c:pt idx="40">
                  <c:v>2900</c:v>
                </c:pt>
                <c:pt idx="41">
                  <c:v>60</c:v>
                </c:pt>
                <c:pt idx="42">
                  <c:v>3284.5</c:v>
                </c:pt>
                <c:pt idx="43">
                  <c:v>750</c:v>
                </c:pt>
                <c:pt idx="44">
                  <c:v>7356</c:v>
                </c:pt>
                <c:pt idx="45">
                  <c:v>3562</c:v>
                </c:pt>
                <c:pt idx="46">
                  <c:v>12000</c:v>
                </c:pt>
                <c:pt idx="47">
                  <c:v>10200</c:v>
                </c:pt>
                <c:pt idx="48">
                  <c:v>140</c:v>
                </c:pt>
                <c:pt idx="49">
                  <c:v>10900</c:v>
                </c:pt>
                <c:pt idx="50">
                  <c:v>2500</c:v>
                </c:pt>
                <c:pt idx="51">
                  <c:v>8800</c:v>
                </c:pt>
                <c:pt idx="52">
                  <c:v>1950</c:v>
                </c:pt>
                <c:pt idx="53">
                  <c:v>4789.84</c:v>
                </c:pt>
                <c:pt idx="54">
                  <c:v>350</c:v>
                </c:pt>
                <c:pt idx="55">
                  <c:v>1700</c:v>
                </c:pt>
                <c:pt idx="56">
                  <c:v>4600</c:v>
                </c:pt>
                <c:pt idx="57">
                  <c:v>550</c:v>
                </c:pt>
                <c:pt idx="58">
                  <c:v>10500</c:v>
                </c:pt>
                <c:pt idx="59">
                  <c:v>2500</c:v>
                </c:pt>
                <c:pt idx="60">
                  <c:v>1900</c:v>
                </c:pt>
                <c:pt idx="61">
                  <c:v>8400</c:v>
                </c:pt>
                <c:pt idx="62">
                  <c:v>3200</c:v>
                </c:pt>
                <c:pt idx="63">
                  <c:v>4700</c:v>
                </c:pt>
                <c:pt idx="64">
                  <c:v>1150</c:v>
                </c:pt>
                <c:pt idx="65">
                  <c:v>5300</c:v>
                </c:pt>
                <c:pt idx="66">
                  <c:v>15000</c:v>
                </c:pt>
                <c:pt idx="67">
                  <c:v>650</c:v>
                </c:pt>
                <c:pt idx="68">
                  <c:v>2800</c:v>
                </c:pt>
                <c:pt idx="69">
                  <c:v>1850</c:v>
                </c:pt>
                <c:pt idx="70">
                  <c:v>7100</c:v>
                </c:pt>
                <c:pt idx="71">
                  <c:v>2600</c:v>
                </c:pt>
                <c:pt idx="72">
                  <c:v>4400</c:v>
                </c:pt>
                <c:pt idx="73">
                  <c:v>9500</c:v>
                </c:pt>
                <c:pt idx="74">
                  <c:v>3300</c:v>
                </c:pt>
                <c:pt idx="75">
                  <c:v>1550</c:v>
                </c:pt>
                <c:pt idx="76">
                  <c:v>5900</c:v>
                </c:pt>
                <c:pt idx="77">
                  <c:v>2750</c:v>
                </c:pt>
                <c:pt idx="78">
                  <c:v>1000</c:v>
                </c:pt>
                <c:pt idx="79">
                  <c:v>6800</c:v>
                </c:pt>
                <c:pt idx="80">
                  <c:v>1890.5</c:v>
                </c:pt>
                <c:pt idx="81">
                  <c:v>4100</c:v>
                </c:pt>
                <c:pt idx="82">
                  <c:v>750</c:v>
                </c:pt>
                <c:pt idx="83">
                  <c:v>2980</c:v>
                </c:pt>
                <c:pt idx="84">
                  <c:v>1250</c:v>
                </c:pt>
                <c:pt idx="85">
                  <c:v>9870.2999999999993</c:v>
                </c:pt>
                <c:pt idx="86">
                  <c:v>645</c:v>
                </c:pt>
                <c:pt idx="87">
                  <c:v>3200</c:v>
                </c:pt>
                <c:pt idx="88">
                  <c:v>150</c:v>
                </c:pt>
                <c:pt idx="89">
                  <c:v>11230</c:v>
                </c:pt>
                <c:pt idx="90">
                  <c:v>4500</c:v>
                </c:pt>
                <c:pt idx="91">
                  <c:v>7890</c:v>
                </c:pt>
                <c:pt idx="92">
                  <c:v>1050</c:v>
                </c:pt>
                <c:pt idx="93">
                  <c:v>3450.9</c:v>
                </c:pt>
                <c:pt idx="94">
                  <c:v>2150</c:v>
                </c:pt>
                <c:pt idx="95">
                  <c:v>99.5</c:v>
                </c:pt>
                <c:pt idx="96">
                  <c:v>12000</c:v>
                </c:pt>
                <c:pt idx="97">
                  <c:v>350</c:v>
                </c:pt>
                <c:pt idx="98">
                  <c:v>6700</c:v>
                </c:pt>
                <c:pt idx="99">
                  <c:v>1450</c:v>
                </c:pt>
                <c:pt idx="100">
                  <c:v>8200</c:v>
                </c:pt>
                <c:pt idx="101">
                  <c:v>500</c:v>
                </c:pt>
                <c:pt idx="102">
                  <c:v>3750</c:v>
                </c:pt>
                <c:pt idx="103">
                  <c:v>2900</c:v>
                </c:pt>
                <c:pt idx="104">
                  <c:v>1600</c:v>
                </c:pt>
                <c:pt idx="105">
                  <c:v>450</c:v>
                </c:pt>
                <c:pt idx="106">
                  <c:v>1830</c:v>
                </c:pt>
                <c:pt idx="107">
                  <c:v>9000</c:v>
                </c:pt>
                <c:pt idx="108">
                  <c:v>125</c:v>
                </c:pt>
                <c:pt idx="109">
                  <c:v>5100</c:v>
                </c:pt>
                <c:pt idx="110">
                  <c:v>1100</c:v>
                </c:pt>
                <c:pt idx="111">
                  <c:v>15000</c:v>
                </c:pt>
                <c:pt idx="112">
                  <c:v>2340</c:v>
                </c:pt>
                <c:pt idx="113">
                  <c:v>7900</c:v>
                </c:pt>
                <c:pt idx="114">
                  <c:v>400</c:v>
                </c:pt>
                <c:pt idx="115">
                  <c:v>1700</c:v>
                </c:pt>
                <c:pt idx="116">
                  <c:v>5600</c:v>
                </c:pt>
                <c:pt idx="117">
                  <c:v>9200</c:v>
                </c:pt>
                <c:pt idx="118">
                  <c:v>3100</c:v>
                </c:pt>
                <c:pt idx="119">
                  <c:v>1200</c:v>
                </c:pt>
                <c:pt idx="120">
                  <c:v>800</c:v>
                </c:pt>
                <c:pt idx="121">
                  <c:v>5500</c:v>
                </c:pt>
                <c:pt idx="122">
                  <c:v>12500</c:v>
                </c:pt>
                <c:pt idx="123">
                  <c:v>4800</c:v>
                </c:pt>
                <c:pt idx="124">
                  <c:v>1950</c:v>
                </c:pt>
                <c:pt idx="125">
                  <c:v>6000</c:v>
                </c:pt>
                <c:pt idx="126">
                  <c:v>300</c:v>
                </c:pt>
                <c:pt idx="127">
                  <c:v>250</c:v>
                </c:pt>
                <c:pt idx="128">
                  <c:v>8800</c:v>
                </c:pt>
                <c:pt idx="129">
                  <c:v>1100</c:v>
                </c:pt>
                <c:pt idx="130">
                  <c:v>4300</c:v>
                </c:pt>
                <c:pt idx="131">
                  <c:v>900</c:v>
                </c:pt>
                <c:pt idx="132">
                  <c:v>1750</c:v>
                </c:pt>
                <c:pt idx="133">
                  <c:v>2900</c:v>
                </c:pt>
                <c:pt idx="134">
                  <c:v>6200</c:v>
                </c:pt>
                <c:pt idx="135">
                  <c:v>3600</c:v>
                </c:pt>
                <c:pt idx="136">
                  <c:v>1500</c:v>
                </c:pt>
                <c:pt idx="137">
                  <c:v>4900</c:v>
                </c:pt>
                <c:pt idx="138">
                  <c:v>2100</c:v>
                </c:pt>
                <c:pt idx="139">
                  <c:v>7300</c:v>
                </c:pt>
                <c:pt idx="140">
                  <c:v>180</c:v>
                </c:pt>
                <c:pt idx="141">
                  <c:v>5400</c:v>
                </c:pt>
                <c:pt idx="142">
                  <c:v>1350</c:v>
                </c:pt>
                <c:pt idx="143">
                  <c:v>9800</c:v>
                </c:pt>
                <c:pt idx="144">
                  <c:v>450</c:v>
                </c:pt>
                <c:pt idx="145">
                  <c:v>2700</c:v>
                </c:pt>
                <c:pt idx="146">
                  <c:v>6500</c:v>
                </c:pt>
                <c:pt idx="147">
                  <c:v>3900</c:v>
                </c:pt>
                <c:pt idx="148">
                  <c:v>8100</c:v>
                </c:pt>
                <c:pt idx="149">
                  <c:v>12000</c:v>
                </c:pt>
                <c:pt idx="150">
                  <c:v>2200</c:v>
                </c:pt>
                <c:pt idx="151">
                  <c:v>1400</c:v>
                </c:pt>
                <c:pt idx="152">
                  <c:v>7700</c:v>
                </c:pt>
                <c:pt idx="153">
                  <c:v>3500</c:v>
                </c:pt>
                <c:pt idx="154">
                  <c:v>9000</c:v>
                </c:pt>
                <c:pt idx="155">
                  <c:v>1600</c:v>
                </c:pt>
                <c:pt idx="156">
                  <c:v>4600</c:v>
                </c:pt>
                <c:pt idx="157">
                  <c:v>550</c:v>
                </c:pt>
                <c:pt idx="158">
                  <c:v>10500</c:v>
                </c:pt>
                <c:pt idx="159">
                  <c:v>2500</c:v>
                </c:pt>
                <c:pt idx="160">
                  <c:v>1900</c:v>
                </c:pt>
                <c:pt idx="161">
                  <c:v>8400</c:v>
                </c:pt>
                <c:pt idx="162">
                  <c:v>3200</c:v>
                </c:pt>
                <c:pt idx="163">
                  <c:v>4700</c:v>
                </c:pt>
                <c:pt idx="164">
                  <c:v>1150</c:v>
                </c:pt>
                <c:pt idx="165">
                  <c:v>5300</c:v>
                </c:pt>
                <c:pt idx="166">
                  <c:v>15000</c:v>
                </c:pt>
                <c:pt idx="167">
                  <c:v>650</c:v>
                </c:pt>
                <c:pt idx="168">
                  <c:v>2800</c:v>
                </c:pt>
                <c:pt idx="169">
                  <c:v>1850</c:v>
                </c:pt>
                <c:pt idx="170">
                  <c:v>7100</c:v>
                </c:pt>
                <c:pt idx="171">
                  <c:v>2600</c:v>
                </c:pt>
                <c:pt idx="172">
                  <c:v>4400</c:v>
                </c:pt>
                <c:pt idx="173">
                  <c:v>9500</c:v>
                </c:pt>
                <c:pt idx="174">
                  <c:v>3300</c:v>
                </c:pt>
                <c:pt idx="175">
                  <c:v>1550</c:v>
                </c:pt>
                <c:pt idx="176">
                  <c:v>5900</c:v>
                </c:pt>
                <c:pt idx="177">
                  <c:v>2750</c:v>
                </c:pt>
                <c:pt idx="178">
                  <c:v>1000</c:v>
                </c:pt>
                <c:pt idx="179">
                  <c:v>6800</c:v>
                </c:pt>
                <c:pt idx="180">
                  <c:v>1890.5</c:v>
                </c:pt>
                <c:pt idx="181">
                  <c:v>4100</c:v>
                </c:pt>
                <c:pt idx="182">
                  <c:v>750</c:v>
                </c:pt>
                <c:pt idx="183">
                  <c:v>2980</c:v>
                </c:pt>
                <c:pt idx="184">
                  <c:v>1250</c:v>
                </c:pt>
                <c:pt idx="185">
                  <c:v>9870.2999999999993</c:v>
                </c:pt>
                <c:pt idx="186">
                  <c:v>645</c:v>
                </c:pt>
                <c:pt idx="187">
                  <c:v>3200</c:v>
                </c:pt>
                <c:pt idx="188">
                  <c:v>150</c:v>
                </c:pt>
                <c:pt idx="189">
                  <c:v>11230</c:v>
                </c:pt>
                <c:pt idx="190">
                  <c:v>4500</c:v>
                </c:pt>
                <c:pt idx="191">
                  <c:v>7890</c:v>
                </c:pt>
                <c:pt idx="192">
                  <c:v>1050</c:v>
                </c:pt>
                <c:pt idx="193">
                  <c:v>3450.9</c:v>
                </c:pt>
                <c:pt idx="194">
                  <c:v>2150</c:v>
                </c:pt>
                <c:pt idx="195">
                  <c:v>99.5</c:v>
                </c:pt>
                <c:pt idx="196">
                  <c:v>12000</c:v>
                </c:pt>
                <c:pt idx="197">
                  <c:v>350</c:v>
                </c:pt>
                <c:pt idx="198">
                  <c:v>6700</c:v>
                </c:pt>
                <c:pt idx="199">
                  <c:v>1450</c:v>
                </c:pt>
              </c:numCache>
            </c:numRef>
          </c:xVal>
          <c:yVal>
            <c:numRef>
              <c:f>Analysis_Sheet!$I$2:$I$201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77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203</c:v>
                </c:pt>
                <c:pt idx="155">
                  <c:v>66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135</c:v>
                </c:pt>
                <c:pt idx="165">
                  <c:v>0</c:v>
                </c:pt>
                <c:pt idx="166">
                  <c:v>0</c:v>
                </c:pt>
                <c:pt idx="167">
                  <c:v>167</c:v>
                </c:pt>
                <c:pt idx="168">
                  <c:v>0</c:v>
                </c:pt>
                <c:pt idx="169">
                  <c:v>0</c:v>
                </c:pt>
                <c:pt idx="170">
                  <c:v>213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176</c:v>
                </c:pt>
                <c:pt idx="178">
                  <c:v>0</c:v>
                </c:pt>
                <c:pt idx="179">
                  <c:v>0</c:v>
                </c:pt>
                <c:pt idx="180">
                  <c:v>230</c:v>
                </c:pt>
                <c:pt idx="181">
                  <c:v>157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103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84</c:v>
                </c:pt>
                <c:pt idx="194">
                  <c:v>172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F3-45A9-BF95-34BC12E60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209343"/>
        <c:axId val="126204543"/>
      </c:scatterChart>
      <c:valAx>
        <c:axId val="126209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b="1" i="0" u="none" strike="noStrike" baseline="0"/>
                  <a:t>Invoice Amount (€)</a:t>
                </a:r>
                <a:endParaRPr lang="it-IT" sz="1600" b="1"/>
              </a:p>
            </c:rich>
          </c:tx>
          <c:layout>
            <c:manualLayout>
              <c:xMode val="edge"/>
              <c:yMode val="edge"/>
              <c:x val="0.39607788828095419"/>
              <c:y val="0.927278403357864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_-&quot;€&quot;* #,##0.00_-;\-&quot;€&quot;* #,##0.00_-;_-&quot;€&quot;* &quot;-&quot;??_-;_-@_-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6204543"/>
        <c:crosses val="autoZero"/>
        <c:crossBetween val="midCat"/>
      </c:valAx>
      <c:valAx>
        <c:axId val="12620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b="1" i="0" u="none" strike="noStrike" baseline="0"/>
                  <a:t>Days Overdue</a:t>
                </a:r>
                <a:endParaRPr lang="it-IT" sz="1600" b="1"/>
              </a:p>
            </c:rich>
          </c:tx>
          <c:layout>
            <c:manualLayout>
              <c:xMode val="edge"/>
              <c:yMode val="edge"/>
              <c:x val="1.0059878721693059E-2"/>
              <c:y val="0.348408457426290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6209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</xdr:row>
      <xdr:rowOff>82550</xdr:rowOff>
    </xdr:from>
    <xdr:to>
      <xdr:col>10</xdr:col>
      <xdr:colOff>247650</xdr:colOff>
      <xdr:row>17</xdr:row>
      <xdr:rowOff>146050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080866D-4932-3BAB-E70C-595520C81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0</xdr:row>
      <xdr:rowOff>88900</xdr:rowOff>
    </xdr:from>
    <xdr:to>
      <xdr:col>23</xdr:col>
      <xdr:colOff>387350</xdr:colOff>
      <xdr:row>19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C4EF033-D22F-8CB2-36E4-B2FD443DC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88653</xdr:colOff>
      <xdr:row>0</xdr:row>
      <xdr:rowOff>56490</xdr:rowOff>
    </xdr:from>
    <xdr:to>
      <xdr:col>42</xdr:col>
      <xdr:colOff>279153</xdr:colOff>
      <xdr:row>29</xdr:row>
      <xdr:rowOff>139041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44642112-27CE-7FC2-EBC6-7996FB8FD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589642</xdr:colOff>
      <xdr:row>0</xdr:row>
      <xdr:rowOff>172357</xdr:rowOff>
    </xdr:from>
    <xdr:to>
      <xdr:col>56</xdr:col>
      <xdr:colOff>263072</xdr:colOff>
      <xdr:row>31</xdr:row>
      <xdr:rowOff>54427</xdr:rowOff>
    </xdr:to>
    <xdr:graphicFrame macro="">
      <xdr:nvGraphicFramePr>
        <xdr:cNvPr id="13" name="Grafico 12">
          <a:extLst>
            <a:ext uri="{FF2B5EF4-FFF2-40B4-BE49-F238E27FC236}">
              <a16:creationId xmlns:a16="http://schemas.microsoft.com/office/drawing/2014/main" id="{B22F26A9-9AA1-4C0B-A6E0-E5A3806DD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88.895709027776" createdVersion="8" refreshedVersion="8" minRefreshableVersion="3" recordCount="200" xr:uid="{9D459BF5-FA3A-4137-9408-AD19C132E9EC}">
  <cacheSource type="worksheet">
    <worksheetSource ref="A1:I201" sheet="Analysis_Sheet"/>
  </cacheSource>
  <cacheFields count="9">
    <cacheField name="Invoice Number" numFmtId="0">
      <sharedItems containsSemiMixedTypes="0" containsString="0" containsNumber="1" containsInteger="1" minValue="1" maxValue="200"/>
    </cacheField>
    <cacheField name="Issue Date" numFmtId="0">
      <sharedItems containsDate="1" containsMixedTypes="1" minDate="2024-09-12T00:00:00" maxDate="2026-04-29T00:00:00"/>
    </cacheField>
    <cacheField name="Customer" numFmtId="0">
      <sharedItems count="16">
        <s v="Rossi M."/>
        <s v="Pinca S."/>
        <s v="Sereni"/>
        <s v="Scottà"/>
        <s v="Villani"/>
        <s v="Bianchi R."/>
        <s v="Lanza A."/>
        <s v="Trefoloni"/>
        <s v="Pinca V."/>
        <s v="Risti"/>
        <s v="Rossi F."/>
        <s v="Bianchi A."/>
        <s v="Fornari"/>
        <s v="Lanza C."/>
        <s v="Marini E."/>
        <s v="Marini G."/>
      </sharedItems>
    </cacheField>
    <cacheField name="Amount" numFmtId="164">
      <sharedItems containsSemiMixedTypes="0" containsString="0" containsNumber="1" minValue="60" maxValue="23456"/>
    </cacheField>
    <cacheField name="Due Date" numFmtId="14">
      <sharedItems containsSemiMixedTypes="0" containsNonDate="0" containsDate="1" containsString="0" minDate="2025-03-01T00:00:00" maxDate="2026-07-29T00:00:00"/>
    </cacheField>
    <cacheField name="Payment Date" numFmtId="14">
      <sharedItems containsNonDate="0" containsDate="1" containsString="0" containsBlank="1" minDate="2025-03-01T00:00:00" maxDate="2026-07-21T00:00:00"/>
    </cacheField>
    <cacheField name="Reference Date" numFmtId="14">
      <sharedItems containsSemiMixedTypes="0" containsNonDate="0" containsDate="1" containsString="0" minDate="2025-11-20T00:00:00" maxDate="2025-11-21T00:00:00"/>
    </cacheField>
    <cacheField name="Calculated Status" numFmtId="0">
      <sharedItems count="3">
        <s v="Paid"/>
        <s v="Unpaid"/>
        <s v="Overdue"/>
      </sharedItems>
    </cacheField>
    <cacheField name="Days Overdue" numFmtId="0">
      <sharedItems containsSemiMixedTypes="0" containsString="0" containsNumber="1" containsInteger="1" minValue="0" maxValue="2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d v="2025-05-25T00:00:00"/>
    <x v="0"/>
    <n v="450"/>
    <d v="2025-08-25T00:00:00"/>
    <d v="2025-08-20T00:00:00"/>
    <d v="2025-11-20T00:00:00"/>
    <x v="0"/>
    <n v="0"/>
  </r>
  <r>
    <n v="2"/>
    <d v="2025-12-10T00:00:00"/>
    <x v="1"/>
    <n v="3562"/>
    <d v="2026-03-10T00:00:00"/>
    <m/>
    <d v="2025-11-20T00:00:00"/>
    <x v="1"/>
    <n v="0"/>
  </r>
  <r>
    <n v="3"/>
    <d v="2025-02-01T00:00:00"/>
    <x v="2"/>
    <n v="2700"/>
    <d v="2025-05-01T00:00:00"/>
    <d v="2025-05-15T00:00:00"/>
    <d v="2025-11-20T00:00:00"/>
    <x v="0"/>
    <n v="0"/>
  </r>
  <r>
    <n v="4"/>
    <d v="2025-06-15T00:00:00"/>
    <x v="3"/>
    <n v="399.36"/>
    <d v="2025-09-15T00:00:00"/>
    <d v="2025-10-05T00:00:00"/>
    <d v="2025-11-20T00:00:00"/>
    <x v="0"/>
    <n v="0"/>
  </r>
  <r>
    <n v="5"/>
    <d v="2025-08-05T00:00:00"/>
    <x v="4"/>
    <n v="960"/>
    <d v="2025-11-05T00:00:00"/>
    <m/>
    <d v="2025-11-20T00:00:00"/>
    <x v="2"/>
    <n v="15"/>
  </r>
  <r>
    <n v="6"/>
    <d v="2026-04-20T00:00:00"/>
    <x v="5"/>
    <n v="7916.67"/>
    <d v="2026-07-20T00:00:00"/>
    <m/>
    <d v="2025-11-20T00:00:00"/>
    <x v="1"/>
    <n v="0"/>
  </r>
  <r>
    <n v="7"/>
    <d v="2025-01-11T00:00:00"/>
    <x v="6"/>
    <n v="3360"/>
    <d v="2025-04-11T00:00:00"/>
    <d v="2025-05-11T00:00:00"/>
    <d v="2025-11-20T00:00:00"/>
    <x v="0"/>
    <n v="0"/>
  </r>
  <r>
    <n v="8"/>
    <d v="2025-10-03T00:00:00"/>
    <x v="2"/>
    <n v="1839.36"/>
    <d v="2026-01-03T00:00:00"/>
    <m/>
    <d v="2025-11-20T00:00:00"/>
    <x v="1"/>
    <n v="0"/>
  </r>
  <r>
    <n v="9"/>
    <d v="2024-12-18T00:00:00"/>
    <x v="7"/>
    <n v="477.48"/>
    <d v="2025-03-18T00:00:00"/>
    <d v="2025-03-20T00:00:00"/>
    <d v="2025-11-20T00:00:00"/>
    <x v="0"/>
    <n v="0"/>
  </r>
  <r>
    <n v="10"/>
    <d v="2025-11-02T00:00:00"/>
    <x v="8"/>
    <n v="750"/>
    <d v="2026-02-02T00:00:00"/>
    <m/>
    <d v="2025-11-20T00:00:00"/>
    <x v="1"/>
    <n v="0"/>
  </r>
  <r>
    <n v="11"/>
    <d v="2025-01-29T00:00:00"/>
    <x v="9"/>
    <n v="750"/>
    <d v="2025-04-29T00:00:00"/>
    <d v="2025-05-05T00:00:00"/>
    <d v="2025-11-20T00:00:00"/>
    <x v="0"/>
    <n v="0"/>
  </r>
  <r>
    <n v="12"/>
    <d v="2025-09-14T00:00:00"/>
    <x v="10"/>
    <n v="3284.5"/>
    <d v="2025-12-14T00:00:00"/>
    <m/>
    <d v="2025-11-20T00:00:00"/>
    <x v="1"/>
    <n v="0"/>
  </r>
  <r>
    <n v="13"/>
    <d v="2025-04-08T00:00:00"/>
    <x v="1"/>
    <n v="4320"/>
    <d v="2025-07-08T00:00:00"/>
    <d v="2025-08-01T00:00:00"/>
    <d v="2025-11-20T00:00:00"/>
    <x v="0"/>
    <n v="0"/>
  </r>
  <r>
    <n v="14"/>
    <d v="2025-10-22T00:00:00"/>
    <x v="11"/>
    <n v="9600"/>
    <d v="2026-01-22T00:00:00"/>
    <m/>
    <d v="2025-11-20T00:00:00"/>
    <x v="1"/>
    <n v="0"/>
  </r>
  <r>
    <n v="15"/>
    <d v="2026-01-17T00:00:00"/>
    <x v="4"/>
    <n v="234"/>
    <d v="2026-04-17T00:00:00"/>
    <m/>
    <d v="2025-11-20T00:00:00"/>
    <x v="1"/>
    <n v="0"/>
  </r>
  <r>
    <n v="16"/>
    <d v="2025-03-06T00:00:00"/>
    <x v="12"/>
    <n v="12000"/>
    <d v="2025-06-06T00:00:00"/>
    <d v="2025-06-10T00:00:00"/>
    <d v="2025-11-20T00:00:00"/>
    <x v="0"/>
    <n v="0"/>
  </r>
  <r>
    <n v="17"/>
    <d v="2025-12-09T00:00:00"/>
    <x v="9"/>
    <n v="123"/>
    <d v="2026-03-09T00:00:00"/>
    <m/>
    <d v="2025-11-20T00:00:00"/>
    <x v="1"/>
    <n v="0"/>
  </r>
  <r>
    <n v="18"/>
    <d v="2025-11-19T00:00:00"/>
    <x v="4"/>
    <n v="790"/>
    <d v="2026-02-19T00:00:00"/>
    <m/>
    <d v="2025-11-20T00:00:00"/>
    <x v="1"/>
    <n v="0"/>
  </r>
  <r>
    <n v="19"/>
    <d v="2025-01-21T00:00:00"/>
    <x v="2"/>
    <n v="580"/>
    <d v="2025-04-21T00:00:00"/>
    <d v="2025-04-20T00:00:00"/>
    <d v="2025-11-20T00:00:00"/>
    <x v="0"/>
    <n v="0"/>
  </r>
  <r>
    <n v="20"/>
    <d v="2025-07-04T00:00:00"/>
    <x v="13"/>
    <n v="2112.6"/>
    <d v="2025-10-04T00:00:00"/>
    <d v="2025-11-01T00:00:00"/>
    <d v="2025-11-20T00:00:00"/>
    <x v="0"/>
    <n v="0"/>
  </r>
  <r>
    <n v="21"/>
    <d v="2025-12-07T00:00:00"/>
    <x v="7"/>
    <n v="1980"/>
    <d v="2026-03-07T00:00:00"/>
    <m/>
    <d v="2025-11-20T00:00:00"/>
    <x v="1"/>
    <n v="0"/>
  </r>
  <r>
    <n v="22"/>
    <d v="2025-09-23T00:00:00"/>
    <x v="8"/>
    <n v="534"/>
    <d v="2025-12-23T00:00:00"/>
    <d v="2026-01-01T00:00:00"/>
    <d v="2025-11-20T00:00:00"/>
    <x v="0"/>
    <n v="0"/>
  </r>
  <r>
    <n v="23"/>
    <d v="2026-02-13T00:00:00"/>
    <x v="9"/>
    <n v="8600"/>
    <d v="2026-05-13T00:00:00"/>
    <m/>
    <d v="2025-11-20T00:00:00"/>
    <x v="1"/>
    <n v="0"/>
  </r>
  <r>
    <n v="24"/>
    <d v="2025-04-01T00:00:00"/>
    <x v="4"/>
    <n v="1600"/>
    <d v="2025-07-01T00:00:00"/>
    <d v="2025-07-15T00:00:00"/>
    <d v="2025-11-20T00:00:00"/>
    <x v="0"/>
    <n v="0"/>
  </r>
  <r>
    <n v="25"/>
    <d v="2025-12-17T00:00:00"/>
    <x v="12"/>
    <n v="1050"/>
    <d v="2026-03-17T00:00:00"/>
    <m/>
    <d v="2025-11-20T00:00:00"/>
    <x v="1"/>
    <n v="0"/>
  </r>
  <r>
    <n v="26"/>
    <d v="2025-02-28T00:00:00"/>
    <x v="2"/>
    <n v="4100"/>
    <d v="2025-05-28T00:00:00"/>
    <d v="2025-06-05T00:00:00"/>
    <d v="2025-11-20T00:00:00"/>
    <x v="0"/>
    <n v="0"/>
  </r>
  <r>
    <n v="27"/>
    <d v="2025-08-02T00:00:00"/>
    <x v="6"/>
    <n v="20112.62"/>
    <d v="2025-11-02T00:00:00"/>
    <d v="2025-11-10T00:00:00"/>
    <d v="2025-11-20T00:00:00"/>
    <x v="0"/>
    <n v="0"/>
  </r>
  <r>
    <n v="28"/>
    <d v="2025-10-11T00:00:00"/>
    <x v="1"/>
    <n v="1450"/>
    <d v="2026-01-11T00:00:00"/>
    <m/>
    <d v="2025-11-20T00:00:00"/>
    <x v="1"/>
    <n v="0"/>
  </r>
  <r>
    <n v="29"/>
    <d v="2025-01-04T00:00:00"/>
    <x v="14"/>
    <n v="23456"/>
    <d v="2025-04-04T00:00:00"/>
    <d v="2025-04-20T00:00:00"/>
    <d v="2025-11-20T00:00:00"/>
    <x v="0"/>
    <n v="0"/>
  </r>
  <r>
    <n v="30"/>
    <d v="2025-03-16T00:00:00"/>
    <x v="7"/>
    <n v="400"/>
    <d v="2025-06-16T00:00:00"/>
    <d v="2025-06-10T00:00:00"/>
    <d v="2025-11-20T00:00:00"/>
    <x v="0"/>
    <n v="0"/>
  </r>
  <r>
    <n v="31"/>
    <d v="2025-11-27T00:00:00"/>
    <x v="2"/>
    <n v="750"/>
    <d v="2026-02-27T00:00:00"/>
    <m/>
    <d v="2025-11-20T00:00:00"/>
    <x v="1"/>
    <n v="0"/>
  </r>
  <r>
    <n v="32"/>
    <d v="2026-01-12T00:00:00"/>
    <x v="13"/>
    <n v="3400"/>
    <d v="2026-04-12T00:00:00"/>
    <m/>
    <d v="2025-11-20T00:00:00"/>
    <x v="1"/>
    <n v="0"/>
  </r>
  <r>
    <n v="33"/>
    <d v="2025-06-05T00:00:00"/>
    <x v="4"/>
    <n v="1560"/>
    <d v="2025-09-05T00:00:00"/>
    <d v="2025-10-01T00:00:00"/>
    <d v="2025-11-20T00:00:00"/>
    <x v="0"/>
    <n v="0"/>
  </r>
  <r>
    <n v="34"/>
    <d v="2024-12-20T00:00:00"/>
    <x v="0"/>
    <n v="2100"/>
    <d v="2025-03-20T00:00:00"/>
    <d v="2025-03-20T00:00:00"/>
    <d v="2025-11-20T00:00:00"/>
    <x v="0"/>
    <n v="0"/>
  </r>
  <r>
    <n v="35"/>
    <d v="2025-08-13T00:00:00"/>
    <x v="11"/>
    <n v="9600"/>
    <d v="2025-11-13T00:00:00"/>
    <d v="2025-11-15T00:00:00"/>
    <d v="2025-11-20T00:00:00"/>
    <x v="0"/>
    <n v="0"/>
  </r>
  <r>
    <n v="36"/>
    <d v="2025-05-09T00:00:00"/>
    <x v="2"/>
    <n v="4259.9399999999996"/>
    <d v="2025-08-09T00:00:00"/>
    <d v="2025-09-15T00:00:00"/>
    <d v="2025-11-20T00:00:00"/>
    <x v="0"/>
    <n v="0"/>
  </r>
  <r>
    <n v="37"/>
    <d v="2025-07-24T00:00:00"/>
    <x v="6"/>
    <n v="230"/>
    <d v="2025-10-24T00:00:00"/>
    <d v="2025-11-01T00:00:00"/>
    <d v="2025-11-20T00:00:00"/>
    <x v="0"/>
    <n v="0"/>
  </r>
  <r>
    <n v="38"/>
    <d v="2026-02-03T00:00:00"/>
    <x v="4"/>
    <n v="3200"/>
    <d v="2026-05-03T00:00:00"/>
    <m/>
    <d v="2025-11-20T00:00:00"/>
    <x v="1"/>
    <n v="0"/>
  </r>
  <r>
    <n v="39"/>
    <d v="2024-12-15T00:00:00"/>
    <x v="7"/>
    <n v="6780"/>
    <d v="2025-03-15T00:00:00"/>
    <d v="2025-03-20T00:00:00"/>
    <d v="2025-11-20T00:00:00"/>
    <x v="0"/>
    <n v="0"/>
  </r>
  <r>
    <n v="40"/>
    <d v="2025-10-21T00:00:00"/>
    <x v="8"/>
    <n v="477.48"/>
    <d v="2026-01-21T00:00:00"/>
    <m/>
    <d v="2025-11-20T00:00:00"/>
    <x v="1"/>
    <n v="0"/>
  </r>
  <r>
    <n v="41"/>
    <d v="2025-09-10T00:00:00"/>
    <x v="9"/>
    <n v="2900"/>
    <d v="2025-12-10T00:00:00"/>
    <d v="2025-12-15T00:00:00"/>
    <d v="2025-11-20T00:00:00"/>
    <x v="0"/>
    <n v="0"/>
  </r>
  <r>
    <n v="42"/>
    <d v="2025-05-28T00:00:00"/>
    <x v="15"/>
    <n v="60"/>
    <d v="2025-08-28T00:00:00"/>
    <d v="2025-09-05T00:00:00"/>
    <d v="2025-11-20T00:00:00"/>
    <x v="0"/>
    <n v="0"/>
  </r>
  <r>
    <n v="43"/>
    <d v="2025-03-01T00:00:00"/>
    <x v="13"/>
    <n v="3284.5"/>
    <d v="2025-06-01T00:00:00"/>
    <d v="2025-06-20T00:00:00"/>
    <d v="2025-11-20T00:00:00"/>
    <x v="0"/>
    <n v="0"/>
  </r>
  <r>
    <n v="44"/>
    <d v="2026-01-07T00:00:00"/>
    <x v="4"/>
    <n v="750"/>
    <d v="2026-04-07T00:00:00"/>
    <m/>
    <d v="2025-11-20T00:00:00"/>
    <x v="1"/>
    <n v="0"/>
  </r>
  <r>
    <n v="45"/>
    <d v="2026-02-26T00:00:00"/>
    <x v="7"/>
    <n v="7356"/>
    <d v="2026-05-26T00:00:00"/>
    <m/>
    <d v="2025-11-20T00:00:00"/>
    <x v="1"/>
    <n v="0"/>
  </r>
  <r>
    <n v="46"/>
    <d v="2025-08-19T00:00:00"/>
    <x v="1"/>
    <n v="3562"/>
    <d v="2025-11-19T00:00:00"/>
    <m/>
    <d v="2025-11-20T00:00:00"/>
    <x v="2"/>
    <n v="1"/>
  </r>
  <r>
    <n v="47"/>
    <d v="2025-12-14T00:00:00"/>
    <x v="2"/>
    <n v="12000"/>
    <d v="2026-03-14T00:00:00"/>
    <m/>
    <d v="2025-11-20T00:00:00"/>
    <x v="1"/>
    <n v="0"/>
  </r>
  <r>
    <n v="48"/>
    <d v="2025-07-20T00:00:00"/>
    <x v="10"/>
    <n v="10200"/>
    <d v="2025-10-20T00:00:00"/>
    <d v="2025-11-01T00:00:00"/>
    <d v="2025-11-20T00:00:00"/>
    <x v="0"/>
    <n v="0"/>
  </r>
  <r>
    <n v="49"/>
    <d v="2026-02-10T00:00:00"/>
    <x v="4"/>
    <n v="140"/>
    <d v="2026-05-10T00:00:00"/>
    <m/>
    <d v="2025-11-20T00:00:00"/>
    <x v="1"/>
    <n v="0"/>
  </r>
  <r>
    <n v="50"/>
    <d v="2025-06-16T00:00:00"/>
    <x v="3"/>
    <n v="10900"/>
    <d v="2025-09-16T00:00:00"/>
    <d v="2025-09-20T00:00:00"/>
    <d v="2025-11-20T00:00:00"/>
    <x v="0"/>
    <n v="0"/>
  </r>
  <r>
    <n v="51"/>
    <d v="2025-04-28T00:00:00"/>
    <x v="6"/>
    <n v="2500"/>
    <d v="2025-07-28T00:00:00"/>
    <d v="2026-04-17T00:00:00"/>
    <d v="2025-11-20T00:00:00"/>
    <x v="0"/>
    <n v="0"/>
  </r>
  <r>
    <n v="52"/>
    <d v="2026-02-10T00:00:00"/>
    <x v="8"/>
    <n v="8800"/>
    <d v="2026-05-10T00:00:00"/>
    <d v="2026-01-26T00:00:00"/>
    <d v="2025-11-20T00:00:00"/>
    <x v="0"/>
    <n v="0"/>
  </r>
  <r>
    <n v="53"/>
    <d v="2024-09-12T00:00:00"/>
    <x v="14"/>
    <n v="1950"/>
    <d v="2025-03-12T00:00:00"/>
    <d v="2026-03-25T00:00:00"/>
    <d v="2025-11-20T00:00:00"/>
    <x v="0"/>
    <n v="0"/>
  </r>
  <r>
    <n v="54"/>
    <d v="2025-06-04T00:00:00"/>
    <x v="0"/>
    <n v="4789.84"/>
    <d v="2025-09-04T00:00:00"/>
    <d v="2025-11-05T00:00:00"/>
    <d v="2025-11-20T00:00:00"/>
    <x v="0"/>
    <n v="0"/>
  </r>
  <r>
    <n v="55"/>
    <d v="2025-09-17T00:00:00"/>
    <x v="7"/>
    <n v="350"/>
    <d v="2025-12-17T00:00:00"/>
    <d v="2026-05-02T00:00:00"/>
    <d v="2025-11-20T00:00:00"/>
    <x v="0"/>
    <n v="0"/>
  </r>
  <r>
    <n v="56"/>
    <d v="2026-04-22T00:00:00"/>
    <x v="5"/>
    <n v="1700"/>
    <d v="2026-07-22T00:00:00"/>
    <d v="2025-06-10T00:00:00"/>
    <d v="2025-11-20T00:00:00"/>
    <x v="0"/>
    <n v="0"/>
  </r>
  <r>
    <n v="57"/>
    <d v="2026-01-05T00:00:00"/>
    <x v="4"/>
    <n v="4600"/>
    <d v="2026-04-05T00:00:00"/>
    <d v="2025-08-28T00:00:00"/>
    <d v="2025-11-20T00:00:00"/>
    <x v="0"/>
    <n v="0"/>
  </r>
  <r>
    <n v="58"/>
    <d v="2025-10-13T00:00:00"/>
    <x v="13"/>
    <n v="550"/>
    <d v="2026-01-13T00:00:00"/>
    <d v="2025-12-20T00:00:00"/>
    <d v="2025-11-20T00:00:00"/>
    <x v="0"/>
    <n v="0"/>
  </r>
  <r>
    <n v="59"/>
    <s v="29/02/2025"/>
    <x v="2"/>
    <n v="10500"/>
    <d v="2025-05-29T00:00:00"/>
    <d v="2026-03-15T00:00:00"/>
    <d v="2025-11-20T00:00:00"/>
    <x v="0"/>
    <n v="0"/>
  </r>
  <r>
    <n v="60"/>
    <d v="2025-08-08T00:00:00"/>
    <x v="3"/>
    <n v="2500"/>
    <d v="2025-11-08T00:00:00"/>
    <m/>
    <d v="2025-11-20T00:00:00"/>
    <x v="2"/>
    <n v="12"/>
  </r>
  <r>
    <n v="61"/>
    <d v="2026-01-11T00:00:00"/>
    <x v="15"/>
    <n v="1900"/>
    <d v="2026-04-11T00:00:00"/>
    <d v="2026-01-01T00:00:00"/>
    <d v="2025-11-20T00:00:00"/>
    <x v="0"/>
    <n v="0"/>
  </r>
  <r>
    <n v="62"/>
    <d v="2025-12-20T00:00:00"/>
    <x v="9"/>
    <n v="8400"/>
    <d v="2026-03-20T00:00:00"/>
    <d v="2026-07-20T00:00:00"/>
    <d v="2025-11-20T00:00:00"/>
    <x v="0"/>
    <n v="0"/>
  </r>
  <r>
    <n v="63"/>
    <d v="2025-11-07T00:00:00"/>
    <x v="1"/>
    <n v="3200"/>
    <d v="2026-02-07T00:00:00"/>
    <d v="2026-05-01T00:00:00"/>
    <d v="2025-11-20T00:00:00"/>
    <x v="0"/>
    <n v="0"/>
  </r>
  <r>
    <n v="64"/>
    <d v="2025-07-16T00:00:00"/>
    <x v="10"/>
    <n v="4700"/>
    <d v="2025-10-16T00:00:00"/>
    <d v="2026-03-01T00:00:00"/>
    <d v="2025-11-20T00:00:00"/>
    <x v="0"/>
    <n v="0"/>
  </r>
  <r>
    <n v="65"/>
    <d v="2026-02-02T00:00:00"/>
    <x v="4"/>
    <n v="1150"/>
    <d v="2026-05-02T00:00:00"/>
    <d v="2025-09-10T00:00:00"/>
    <d v="2025-11-20T00:00:00"/>
    <x v="0"/>
    <n v="0"/>
  </r>
  <r>
    <n v="66"/>
    <d v="2025-03-14T00:00:00"/>
    <x v="12"/>
    <n v="5300"/>
    <d v="2025-06-14T00:00:00"/>
    <d v="2025-11-15T00:00:00"/>
    <d v="2025-11-20T00:00:00"/>
    <x v="0"/>
    <n v="0"/>
  </r>
  <r>
    <n v="67"/>
    <d v="2025-05-21T00:00:00"/>
    <x v="11"/>
    <n v="15000"/>
    <d v="2025-08-21T00:00:00"/>
    <d v="2026-03-10T00:00:00"/>
    <d v="2025-11-20T00:00:00"/>
    <x v="0"/>
    <n v="0"/>
  </r>
  <r>
    <n v="68"/>
    <d v="2025-09-10T00:00:00"/>
    <x v="7"/>
    <n v="650"/>
    <d v="2025-12-10T00:00:00"/>
    <d v="2026-01-15T00:00:00"/>
    <d v="2025-11-20T00:00:00"/>
    <x v="0"/>
    <n v="0"/>
  </r>
  <r>
    <n v="69"/>
    <d v="2025-10-26T00:00:00"/>
    <x v="6"/>
    <n v="2800"/>
    <d v="2026-01-26T00:00:00"/>
    <d v="2025-03-01T00:00:00"/>
    <d v="2025-11-20T00:00:00"/>
    <x v="0"/>
    <n v="0"/>
  </r>
  <r>
    <n v="70"/>
    <d v="2025-12-03T00:00:00"/>
    <x v="8"/>
    <n v="1850"/>
    <d v="2026-03-03T00:00:00"/>
    <d v="2025-11-10T00:00:00"/>
    <d v="2025-11-20T00:00:00"/>
    <x v="0"/>
    <n v="0"/>
  </r>
  <r>
    <n v="71"/>
    <d v="2025-04-07T00:00:00"/>
    <x v="2"/>
    <n v="7100"/>
    <d v="2025-09-07T00:00:00"/>
    <d v="2026-01-18T00:00:00"/>
    <d v="2025-11-20T00:00:00"/>
    <x v="0"/>
    <n v="0"/>
  </r>
  <r>
    <n v="72"/>
    <d v="2026-04-19T00:00:00"/>
    <x v="3"/>
    <n v="2600"/>
    <d v="2026-07-19T00:00:00"/>
    <d v="2026-03-15T00:00:00"/>
    <d v="2025-11-20T00:00:00"/>
    <x v="0"/>
    <n v="0"/>
  </r>
  <r>
    <n v="73"/>
    <d v="2025-01-01T00:00:00"/>
    <x v="14"/>
    <n v="4400"/>
    <d v="2025-04-01T00:00:00"/>
    <d v="2026-02-10T00:00:00"/>
    <d v="2025-11-20T00:00:00"/>
    <x v="0"/>
    <n v="0"/>
  </r>
  <r>
    <n v="74"/>
    <d v="2025-11-11T00:00:00"/>
    <x v="9"/>
    <n v="9500"/>
    <d v="2026-02-11T00:00:00"/>
    <d v="2025-03-01T00:00:00"/>
    <d v="2025-11-20T00:00:00"/>
    <x v="0"/>
    <n v="0"/>
  </r>
  <r>
    <n v="75"/>
    <d v="2025-06-28T00:00:00"/>
    <x v="4"/>
    <n v="3300"/>
    <d v="2025-09-28T00:00:00"/>
    <d v="2025-11-20T00:00:00"/>
    <d v="2025-11-20T00:00:00"/>
    <x v="0"/>
    <n v="0"/>
  </r>
  <r>
    <n v="76"/>
    <d v="2025-08-09T00:00:00"/>
    <x v="12"/>
    <n v="1550"/>
    <d v="2025-11-09T00:00:00"/>
    <d v="2025-08-25T00:00:00"/>
    <d v="2025-11-20T00:00:00"/>
    <x v="0"/>
    <n v="0"/>
  </r>
  <r>
    <n v="77"/>
    <d v="2026-02-04T00:00:00"/>
    <x v="1"/>
    <n v="5900"/>
    <d v="2026-05-04T00:00:00"/>
    <d v="2026-05-15T00:00:00"/>
    <d v="2025-11-20T00:00:00"/>
    <x v="0"/>
    <n v="0"/>
  </r>
  <r>
    <n v="78"/>
    <d v="2025-10-18T00:00:00"/>
    <x v="7"/>
    <n v="2750"/>
    <d v="2026-01-18T00:00:00"/>
    <m/>
    <d v="2025-11-20T00:00:00"/>
    <x v="1"/>
    <n v="0"/>
  </r>
  <r>
    <n v="79"/>
    <d v="2024-12-01T00:00:00"/>
    <x v="0"/>
    <n v="1000"/>
    <d v="2025-03-01T00:00:00"/>
    <d v="2026-05-25T00:00:00"/>
    <d v="2025-11-20T00:00:00"/>
    <x v="0"/>
    <n v="0"/>
  </r>
  <r>
    <n v="80"/>
    <d v="2025-07-23T00:00:00"/>
    <x v="13"/>
    <n v="6800"/>
    <d v="2025-10-23T00:00:00"/>
    <d v="2026-03-20T00:00:00"/>
    <d v="2025-11-20T00:00:00"/>
    <x v="0"/>
    <n v="0"/>
  </r>
  <r>
    <n v="81"/>
    <d v="2026-04-15T00:00:00"/>
    <x v="2"/>
    <n v="1890.5"/>
    <d v="2026-07-15T00:00:00"/>
    <d v="2025-10-20T00:00:00"/>
    <d v="2025-11-20T00:00:00"/>
    <x v="0"/>
    <n v="0"/>
  </r>
  <r>
    <n v="82"/>
    <d v="2026-03-06T00:00:00"/>
    <x v="5"/>
    <n v="4100"/>
    <d v="2026-03-06T00:00:00"/>
    <d v="2026-03-10T00:00:00"/>
    <d v="2025-11-20T00:00:00"/>
    <x v="0"/>
    <n v="0"/>
  </r>
  <r>
    <n v="83"/>
    <d v="2025-06-20T00:00:00"/>
    <x v="4"/>
    <n v="750"/>
    <d v="2025-09-20T00:00:00"/>
    <d v="2025-06-01T00:00:00"/>
    <d v="2025-11-20T00:00:00"/>
    <x v="0"/>
    <n v="0"/>
  </r>
  <r>
    <n v="84"/>
    <d v="2026-01-17T00:00:00"/>
    <x v="8"/>
    <n v="2980"/>
    <d v="2026-04-17T00:00:00"/>
    <d v="2025-07-01T00:00:00"/>
    <d v="2025-11-20T00:00:00"/>
    <x v="0"/>
    <n v="0"/>
  </r>
  <r>
    <n v="85"/>
    <d v="2025-08-29T00:00:00"/>
    <x v="15"/>
    <n v="1250"/>
    <d v="2025-11-29T00:00:00"/>
    <d v="2025-09-01T00:00:00"/>
    <d v="2025-11-20T00:00:00"/>
    <x v="0"/>
    <n v="0"/>
  </r>
  <r>
    <n v="86"/>
    <d v="2025-09-14T00:00:00"/>
    <x v="9"/>
    <n v="9870.2999999999993"/>
    <d v="2025-12-14T00:00:00"/>
    <d v="2026-04-10T00:00:00"/>
    <d v="2025-11-20T00:00:00"/>
    <x v="0"/>
    <n v="0"/>
  </r>
  <r>
    <n v="87"/>
    <d v="2025-04-08T00:00:00"/>
    <x v="3"/>
    <n v="645"/>
    <d v="2025-07-08T00:00:00"/>
    <d v="2026-02-25T00:00:00"/>
    <d v="2025-11-20T00:00:00"/>
    <x v="0"/>
    <n v="0"/>
  </r>
  <r>
    <n v="88"/>
    <d v="2025-11-03T00:00:00"/>
    <x v="12"/>
    <n v="3200"/>
    <d v="2026-02-03T00:00:00"/>
    <d v="2025-06-10T00:00:00"/>
    <d v="2025-11-20T00:00:00"/>
    <x v="0"/>
    <n v="0"/>
  </r>
  <r>
    <n v="89"/>
    <d v="2025-08-24T00:00:00"/>
    <x v="2"/>
    <n v="150"/>
    <d v="2025-11-24T00:00:00"/>
    <d v="2026-01-01T00:00:00"/>
    <d v="2025-11-20T00:00:00"/>
    <x v="0"/>
    <n v="0"/>
  </r>
  <r>
    <n v="90"/>
    <d v="2025-02-10T00:00:00"/>
    <x v="7"/>
    <n v="11230"/>
    <d v="2025-05-10T00:00:00"/>
    <d v="2026-03-20T00:00:00"/>
    <d v="2025-11-20T00:00:00"/>
    <x v="0"/>
    <n v="0"/>
  </r>
  <r>
    <n v="91"/>
    <d v="2026-01-06T00:00:00"/>
    <x v="11"/>
    <n v="4500"/>
    <d v="2026-04-06T00:00:00"/>
    <d v="2026-03-15T00:00:00"/>
    <d v="2025-11-20T00:00:00"/>
    <x v="0"/>
    <n v="0"/>
  </r>
  <r>
    <n v="92"/>
    <d v="2025-10-19T00:00:00"/>
    <x v="6"/>
    <n v="7890"/>
    <d v="2026-01-19T00:00:00"/>
    <d v="2026-02-01T00:00:00"/>
    <d v="2025-11-20T00:00:00"/>
    <x v="0"/>
    <n v="0"/>
  </r>
  <r>
    <n v="93"/>
    <d v="2025-07-01T00:00:00"/>
    <x v="1"/>
    <n v="1050"/>
    <d v="2025-10-01T00:00:00"/>
    <d v="2026-04-01T00:00:00"/>
    <d v="2025-11-20T00:00:00"/>
    <x v="0"/>
    <n v="0"/>
  </r>
  <r>
    <n v="94"/>
    <d v="2025-12-15T00:00:00"/>
    <x v="10"/>
    <n v="3450.9"/>
    <d v="2026-03-15T00:00:00"/>
    <d v="2026-03-15T00:00:00"/>
    <d v="2025-11-20T00:00:00"/>
    <x v="0"/>
    <n v="0"/>
  </r>
  <r>
    <n v="95"/>
    <d v="2025-05-09T00:00:00"/>
    <x v="4"/>
    <n v="2150"/>
    <d v="2025-08-09T00:00:00"/>
    <d v="2025-11-20T00:00:00"/>
    <d v="2025-11-20T00:00:00"/>
    <x v="0"/>
    <n v="0"/>
  </r>
  <r>
    <n v="96"/>
    <d v="2025-09-04T00:00:00"/>
    <x v="14"/>
    <n v="99.5"/>
    <d v="2025-12-04T00:00:00"/>
    <d v="2026-01-20T00:00:00"/>
    <d v="2025-11-20T00:00:00"/>
    <x v="0"/>
    <n v="0"/>
  </r>
  <r>
    <n v="97"/>
    <d v="2026-04-18T00:00:00"/>
    <x v="2"/>
    <n v="12000"/>
    <d v="2026-07-18T00:00:00"/>
    <d v="2026-03-10T00:00:00"/>
    <d v="2025-11-20T00:00:00"/>
    <x v="0"/>
    <n v="0"/>
  </r>
  <r>
    <n v="98"/>
    <d v="2025-01-23T00:00:00"/>
    <x v="3"/>
    <n v="350"/>
    <d v="2025-04-23T00:00:00"/>
    <d v="2026-01-15T00:00:00"/>
    <d v="2025-11-20T00:00:00"/>
    <x v="0"/>
    <n v="0"/>
  </r>
  <r>
    <n v="99"/>
    <d v="2025-12-07T00:00:00"/>
    <x v="9"/>
    <n v="6700"/>
    <d v="2026-03-07T00:00:00"/>
    <d v="2025-06-01T00:00:00"/>
    <d v="2025-11-20T00:00:00"/>
    <x v="0"/>
    <n v="0"/>
  </r>
  <r>
    <n v="100"/>
    <d v="2026-02-21T00:00:00"/>
    <x v="12"/>
    <n v="1450"/>
    <d v="2026-05-21T00:00:00"/>
    <d v="2025-09-01T00:00:00"/>
    <d v="2025-11-20T00:00:00"/>
    <x v="0"/>
    <n v="0"/>
  </r>
  <r>
    <n v="101"/>
    <d v="2025-07-05T00:00:00"/>
    <x v="8"/>
    <n v="8200"/>
    <d v="2025-10-05T00:00:00"/>
    <d v="2025-09-20T00:00:00"/>
    <d v="2025-11-20T00:00:00"/>
    <x v="0"/>
    <n v="0"/>
  </r>
  <r>
    <n v="102"/>
    <d v="2025-08-29T00:00:00"/>
    <x v="7"/>
    <n v="500"/>
    <d v="2025-11-29T00:00:00"/>
    <d v="2026-04-15T00:00:00"/>
    <d v="2025-11-20T00:00:00"/>
    <x v="0"/>
    <n v="0"/>
  </r>
  <r>
    <n v="103"/>
    <d v="2026-01-11T00:00:00"/>
    <x v="13"/>
    <n v="3750"/>
    <d v="2026-04-11T00:00:00"/>
    <m/>
    <d v="2025-11-20T00:00:00"/>
    <x v="1"/>
    <n v="0"/>
  </r>
  <r>
    <n v="104"/>
    <d v="2025-12-14T00:00:00"/>
    <x v="4"/>
    <n v="2900"/>
    <d v="2026-03-14T00:00:00"/>
    <d v="2025-09-24T00:00:00"/>
    <d v="2025-11-20T00:00:00"/>
    <x v="0"/>
    <n v="0"/>
  </r>
  <r>
    <n v="105"/>
    <d v="2026-02-03T00:00:00"/>
    <x v="0"/>
    <n v="1600"/>
    <d v="2026-05-03T00:00:00"/>
    <m/>
    <d v="2025-11-20T00:00:00"/>
    <x v="1"/>
    <n v="0"/>
  </r>
  <r>
    <n v="106"/>
    <d v="2025-06-16T00:00:00"/>
    <x v="5"/>
    <n v="450"/>
    <d v="2025-09-16T00:00:00"/>
    <d v="2026-03-10T00:00:00"/>
    <d v="2025-11-20T00:00:00"/>
    <x v="0"/>
    <n v="0"/>
  </r>
  <r>
    <n v="107"/>
    <d v="2025-10-01T00:00:00"/>
    <x v="15"/>
    <n v="1830"/>
    <d v="2026-01-01T00:00:00"/>
    <m/>
    <d v="2025-11-20T00:00:00"/>
    <x v="1"/>
    <n v="0"/>
  </r>
  <r>
    <n v="108"/>
    <d v="2025-02-27T00:00:00"/>
    <x v="1"/>
    <n v="9000"/>
    <d v="2025-05-27T00:00:00"/>
    <d v="2026-05-10T00:00:00"/>
    <d v="2025-11-20T00:00:00"/>
    <x v="0"/>
    <n v="0"/>
  </r>
  <r>
    <n v="109"/>
    <d v="2025-11-19T00:00:00"/>
    <x v="2"/>
    <n v="125"/>
    <d v="2026-02-19T00:00:00"/>
    <d v="2025-09-01T00:00:00"/>
    <d v="2025-11-20T00:00:00"/>
    <x v="0"/>
    <n v="0"/>
  </r>
  <r>
    <n v="110"/>
    <d v="2025-09-12T00:00:00"/>
    <x v="3"/>
    <n v="5100"/>
    <d v="2025-12-12T00:00:00"/>
    <d v="2025-08-20T00:00:00"/>
    <d v="2025-11-20T00:00:00"/>
    <x v="0"/>
    <n v="0"/>
  </r>
  <r>
    <n v="111"/>
    <d v="2025-01-08T00:00:00"/>
    <x v="9"/>
    <n v="1100"/>
    <d v="2025-04-08T00:00:00"/>
    <d v="2026-05-20T00:00:00"/>
    <d v="2025-11-20T00:00:00"/>
    <x v="0"/>
    <n v="0"/>
  </r>
  <r>
    <n v="112"/>
    <d v="2025-06-04T00:00:00"/>
    <x v="4"/>
    <n v="15000"/>
    <d v="2025-09-04T00:00:00"/>
    <m/>
    <d v="2025-11-20T00:00:00"/>
    <x v="2"/>
    <n v="77"/>
  </r>
  <r>
    <n v="113"/>
    <d v="2026-04-21T00:00:00"/>
    <x v="12"/>
    <n v="2340"/>
    <d v="2026-07-21T00:00:00"/>
    <m/>
    <d v="2025-11-20T00:00:00"/>
    <x v="1"/>
    <n v="0"/>
  </r>
  <r>
    <n v="114"/>
    <d v="2026-03-15T00:00:00"/>
    <x v="8"/>
    <n v="7900"/>
    <d v="2026-06-15T00:00:00"/>
    <d v="2025-12-20T00:00:00"/>
    <d v="2025-11-20T00:00:00"/>
    <x v="0"/>
    <n v="0"/>
  </r>
  <r>
    <n v="115"/>
    <d v="2025-08-03T00:00:00"/>
    <x v="7"/>
    <n v="400"/>
    <d v="2025-11-03T00:00:00"/>
    <d v="2026-04-15T00:00:00"/>
    <d v="2025-11-20T00:00:00"/>
    <x v="0"/>
    <n v="0"/>
  </r>
  <r>
    <n v="116"/>
    <d v="2025-12-28T00:00:00"/>
    <x v="6"/>
    <n v="1700"/>
    <d v="2026-03-28T00:00:00"/>
    <d v="2025-06-01T00:00:00"/>
    <d v="2025-11-20T00:00:00"/>
    <x v="0"/>
    <n v="0"/>
  </r>
  <r>
    <n v="117"/>
    <d v="2025-10-09T00:00:00"/>
    <x v="10"/>
    <n v="5600"/>
    <d v="2026-01-09T00:00:00"/>
    <m/>
    <d v="2025-11-20T00:00:00"/>
    <x v="1"/>
    <n v="0"/>
  </r>
  <r>
    <n v="118"/>
    <d v="2026-02-20T00:00:00"/>
    <x v="11"/>
    <n v="9200"/>
    <d v="2026-05-20T00:00:00"/>
    <d v="2025-11-15T00:00:00"/>
    <d v="2025-11-20T00:00:00"/>
    <x v="0"/>
    <n v="0"/>
  </r>
  <r>
    <n v="119"/>
    <d v="2025-04-01T00:00:00"/>
    <x v="2"/>
    <n v="3100"/>
    <d v="2025-07-01T00:00:00"/>
    <d v="2026-03-20T00:00:00"/>
    <d v="2025-11-20T00:00:00"/>
    <x v="0"/>
    <n v="0"/>
  </r>
  <r>
    <n v="120"/>
    <d v="2026-01-14T00:00:00"/>
    <x v="14"/>
    <n v="1200"/>
    <d v="2026-04-14T00:00:00"/>
    <d v="2025-07-01T00:00:00"/>
    <d v="2025-11-20T00:00:00"/>
    <x v="0"/>
    <n v="0"/>
  </r>
  <r>
    <n v="121"/>
    <d v="2025-11-26T00:00:00"/>
    <x v="4"/>
    <n v="800"/>
    <d v="2026-02-26T00:00:00"/>
    <d v="2025-11-20T00:00:00"/>
    <d v="2025-11-20T00:00:00"/>
    <x v="0"/>
    <n v="0"/>
  </r>
  <r>
    <n v="122"/>
    <d v="2025-09-10T00:00:00"/>
    <x v="9"/>
    <n v="5500"/>
    <d v="2025-12-10T00:00:00"/>
    <m/>
    <d v="2025-11-20T00:00:00"/>
    <x v="1"/>
    <n v="0"/>
  </r>
  <r>
    <n v="123"/>
    <d v="2026-01-05T00:00:00"/>
    <x v="1"/>
    <n v="12500"/>
    <d v="2026-04-05T00:00:00"/>
    <d v="2026-05-20T00:00:00"/>
    <d v="2025-11-20T00:00:00"/>
    <x v="0"/>
    <n v="0"/>
  </r>
  <r>
    <n v="124"/>
    <d v="2025-08-23T00:00:00"/>
    <x v="3"/>
    <n v="4800"/>
    <d v="2025-11-23T00:00:00"/>
    <d v="2025-08-01T00:00:00"/>
    <d v="2025-11-20T00:00:00"/>
    <x v="0"/>
    <n v="0"/>
  </r>
  <r>
    <n v="125"/>
    <d v="2025-12-17T00:00:00"/>
    <x v="7"/>
    <n v="1950"/>
    <d v="2026-03-17T00:00:00"/>
    <m/>
    <d v="2025-11-20T00:00:00"/>
    <x v="1"/>
    <n v="0"/>
  </r>
  <r>
    <n v="126"/>
    <d v="2025-06-19T00:00:00"/>
    <x v="13"/>
    <n v="6000"/>
    <d v="2025-09-19T00:00:00"/>
    <d v="2025-12-10T00:00:00"/>
    <d v="2025-11-20T00:00:00"/>
    <x v="0"/>
    <n v="0"/>
  </r>
  <r>
    <n v="127"/>
    <d v="2024-12-08T00:00:00"/>
    <x v="0"/>
    <n v="300"/>
    <d v="2025-03-08T00:00:00"/>
    <d v="2026-02-15T00:00:00"/>
    <d v="2025-11-20T00:00:00"/>
    <x v="0"/>
    <n v="0"/>
  </r>
  <r>
    <n v="128"/>
    <d v="2025-11-02T00:00:00"/>
    <x v="5"/>
    <n v="250"/>
    <d v="2026-02-02T00:00:00"/>
    <d v="2026-03-10T00:00:00"/>
    <d v="2025-11-20T00:00:00"/>
    <x v="0"/>
    <n v="0"/>
  </r>
  <r>
    <n v="129"/>
    <d v="2026-01-20T00:00:00"/>
    <x v="4"/>
    <n v="8800"/>
    <d v="2026-04-20T00:00:00"/>
    <d v="2026-07-20T00:00:00"/>
    <d v="2025-11-20T00:00:00"/>
    <x v="0"/>
    <n v="0"/>
  </r>
  <r>
    <n v="130"/>
    <d v="2025-04-06T00:00:00"/>
    <x v="15"/>
    <n v="1100"/>
    <d v="2025-07-06T00:00:00"/>
    <d v="2026-04-20T00:00:00"/>
    <d v="2025-11-20T00:00:00"/>
    <x v="0"/>
    <n v="0"/>
  </r>
  <r>
    <n v="131"/>
    <d v="2026-02-13T00:00:00"/>
    <x v="12"/>
    <n v="4300"/>
    <d v="2026-05-13T00:00:00"/>
    <d v="2026-05-15T00:00:00"/>
    <d v="2025-11-20T00:00:00"/>
    <x v="0"/>
    <n v="0"/>
  </r>
  <r>
    <n v="132"/>
    <d v="2025-10-18T00:00:00"/>
    <x v="8"/>
    <n v="900"/>
    <d v="2026-01-18T00:00:00"/>
    <d v="2026-03-10T00:00:00"/>
    <d v="2025-11-20T00:00:00"/>
    <x v="0"/>
    <n v="0"/>
  </r>
  <r>
    <n v="133"/>
    <d v="2025-07-24T00:00:00"/>
    <x v="2"/>
    <n v="1750"/>
    <d v="2025-10-24T00:00:00"/>
    <d v="2025-06-01T00:00:00"/>
    <d v="2025-11-20T00:00:00"/>
    <x v="0"/>
    <n v="0"/>
  </r>
  <r>
    <n v="134"/>
    <d v="2026-01-07T00:00:00"/>
    <x v="9"/>
    <n v="2900"/>
    <d v="2026-04-07T00:00:00"/>
    <d v="2026-01-15T00:00:00"/>
    <d v="2025-11-20T00:00:00"/>
    <x v="0"/>
    <n v="0"/>
  </r>
  <r>
    <n v="135"/>
    <d v="2025-12-29T00:00:00"/>
    <x v="7"/>
    <n v="6200"/>
    <d v="2026-03-29T00:00:00"/>
    <d v="2025-11-10T00:00:00"/>
    <d v="2025-11-20T00:00:00"/>
    <x v="0"/>
    <n v="0"/>
  </r>
  <r>
    <n v="136"/>
    <d v="2025-08-10T00:00:00"/>
    <x v="6"/>
    <n v="3600"/>
    <d v="2025-11-10T00:00:00"/>
    <d v="2026-03-10T00:00:00"/>
    <d v="2025-11-20T00:00:00"/>
    <x v="0"/>
    <n v="0"/>
  </r>
  <r>
    <n v="137"/>
    <d v="2026-02-04T00:00:00"/>
    <x v="10"/>
    <n v="1500"/>
    <d v="2026-05-04T00:00:00"/>
    <d v="2026-05-10T00:00:00"/>
    <d v="2025-11-20T00:00:00"/>
    <x v="0"/>
    <n v="0"/>
  </r>
  <r>
    <n v="138"/>
    <d v="2025-09-12T00:00:00"/>
    <x v="11"/>
    <n v="4900"/>
    <d v="2026-03-12T00:00:00"/>
    <d v="2025-11-20T00:00:00"/>
    <d v="2025-11-20T00:00:00"/>
    <x v="0"/>
    <n v="0"/>
  </r>
  <r>
    <n v="139"/>
    <d v="2025-03-01T00:00:00"/>
    <x v="4"/>
    <n v="2100"/>
    <d v="2025-06-01T00:00:00"/>
    <d v="2026-01-10T00:00:00"/>
    <d v="2025-11-20T00:00:00"/>
    <x v="0"/>
    <n v="0"/>
  </r>
  <r>
    <n v="140"/>
    <d v="2025-08-17T00:00:00"/>
    <x v="14"/>
    <n v="7300"/>
    <d v="2025-11-17T00:00:00"/>
    <d v="2026-03-15T00:00:00"/>
    <d v="2025-11-20T00:00:00"/>
    <x v="0"/>
    <n v="0"/>
  </r>
  <r>
    <n v="141"/>
    <d v="2025-05-21T00:00:00"/>
    <x v="1"/>
    <n v="180"/>
    <d v="2025-08-21T00:00:00"/>
    <d v="2025-07-01T00:00:00"/>
    <d v="2025-11-20T00:00:00"/>
    <x v="0"/>
    <n v="0"/>
  </r>
  <r>
    <n v="142"/>
    <d v="2025-10-15T00:00:00"/>
    <x v="3"/>
    <n v="5400"/>
    <d v="2026-01-15T00:00:00"/>
    <d v="2026-03-15T00:00:00"/>
    <d v="2025-11-20T00:00:00"/>
    <x v="0"/>
    <n v="0"/>
  </r>
  <r>
    <n v="143"/>
    <d v="2026-04-28T00:00:00"/>
    <x v="2"/>
    <n v="1350"/>
    <d v="2026-07-28T00:00:00"/>
    <m/>
    <d v="2025-11-20T00:00:00"/>
    <x v="1"/>
    <n v="0"/>
  </r>
  <r>
    <n v="144"/>
    <d v="2025-02-03T00:00:00"/>
    <x v="9"/>
    <n v="9800"/>
    <d v="2025-05-03T00:00:00"/>
    <d v="2026-05-20T00:00:00"/>
    <d v="2025-11-20T00:00:00"/>
    <x v="0"/>
    <n v="0"/>
  </r>
  <r>
    <n v="145"/>
    <d v="2025-07-16T00:00:00"/>
    <x v="12"/>
    <n v="450"/>
    <d v="2025-10-16T00:00:00"/>
    <d v="2026-05-20T00:00:00"/>
    <d v="2025-11-20T00:00:00"/>
    <x v="0"/>
    <n v="0"/>
  </r>
  <r>
    <n v="146"/>
    <d v="2025-11-08T00:00:00"/>
    <x v="7"/>
    <n v="2700"/>
    <d v="2026-02-08T00:00:00"/>
    <d v="2026-05-01T00:00:00"/>
    <d v="2025-11-20T00:00:00"/>
    <x v="0"/>
    <n v="0"/>
  </r>
  <r>
    <n v="147"/>
    <d v="2025-09-23T00:00:00"/>
    <x v="8"/>
    <n v="6500"/>
    <d v="2025-12-23T00:00:00"/>
    <d v="2026-03-15T00:00:00"/>
    <d v="2025-11-20T00:00:00"/>
    <x v="0"/>
    <n v="0"/>
  </r>
  <r>
    <n v="148"/>
    <d v="2025-12-11T00:00:00"/>
    <x v="13"/>
    <n v="3900"/>
    <d v="2026-03-11T00:00:00"/>
    <d v="2025-11-20T00:00:00"/>
    <d v="2025-11-20T00:00:00"/>
    <x v="0"/>
    <n v="0"/>
  </r>
  <r>
    <n v="149"/>
    <d v="2026-04-20T00:00:00"/>
    <x v="4"/>
    <n v="8100"/>
    <d v="2026-07-20T00:00:00"/>
    <d v="2026-03-15T00:00:00"/>
    <d v="2025-11-20T00:00:00"/>
    <x v="0"/>
    <n v="0"/>
  </r>
  <r>
    <n v="150"/>
    <d v="2025-06-05T00:00:00"/>
    <x v="0"/>
    <n v="12000"/>
    <d v="2025-09-05T00:00:00"/>
    <d v="2025-09-20T00:00:00"/>
    <d v="2025-11-20T00:00:00"/>
    <x v="0"/>
    <n v="0"/>
  </r>
  <r>
    <n v="151"/>
    <d v="2026-01-17T00:00:00"/>
    <x v="5"/>
    <n v="2200"/>
    <d v="2026-04-17T00:00:00"/>
    <d v="2025-05-01T00:00:00"/>
    <d v="2025-11-20T00:00:00"/>
    <x v="0"/>
    <n v="0"/>
  </r>
  <r>
    <n v="152"/>
    <d v="2026-02-12T00:00:00"/>
    <x v="15"/>
    <n v="1400"/>
    <d v="2026-05-12T00:00:00"/>
    <d v="2026-03-10T00:00:00"/>
    <d v="2025-11-20T00:00:00"/>
    <x v="0"/>
    <n v="0"/>
  </r>
  <r>
    <n v="153"/>
    <d v="2025-05-25T00:00:00"/>
    <x v="3"/>
    <n v="7700"/>
    <d v="2025-08-25T00:00:00"/>
    <d v="2025-05-20T00:00:00"/>
    <d v="2025-11-20T00:00:00"/>
    <x v="0"/>
    <n v="0"/>
  </r>
  <r>
    <n v="154"/>
    <d v="2025-12-10T00:00:00"/>
    <x v="1"/>
    <n v="3500"/>
    <d v="2026-03-10T00:00:00"/>
    <d v="2025-09-20T00:00:00"/>
    <d v="2025-11-20T00:00:00"/>
    <x v="0"/>
    <n v="0"/>
  </r>
  <r>
    <n v="155"/>
    <d v="2025-02-01T00:00:00"/>
    <x v="2"/>
    <n v="9000"/>
    <d v="2025-05-01T00:00:00"/>
    <m/>
    <d v="2025-11-20T00:00:00"/>
    <x v="2"/>
    <n v="203"/>
  </r>
  <r>
    <n v="156"/>
    <d v="2025-06-15T00:00:00"/>
    <x v="9"/>
    <n v="1600"/>
    <d v="2025-09-15T00:00:00"/>
    <m/>
    <d v="2025-11-20T00:00:00"/>
    <x v="2"/>
    <n v="66"/>
  </r>
  <r>
    <n v="157"/>
    <d v="2025-08-05T00:00:00"/>
    <x v="12"/>
    <n v="4600"/>
    <d v="2025-11-05T00:00:00"/>
    <d v="2025-04-25T00:00:00"/>
    <d v="2025-11-20T00:00:00"/>
    <x v="0"/>
    <n v="0"/>
  </r>
  <r>
    <n v="158"/>
    <d v="2026-04-20T00:00:00"/>
    <x v="7"/>
    <n v="550"/>
    <d v="2026-07-20T00:00:00"/>
    <d v="2026-01-25T00:00:00"/>
    <d v="2025-11-20T00:00:00"/>
    <x v="0"/>
    <n v="0"/>
  </r>
  <r>
    <n v="159"/>
    <d v="2025-01-11T00:00:00"/>
    <x v="4"/>
    <n v="10500"/>
    <d v="2025-04-11T00:00:00"/>
    <d v="2025-03-20T00:00:00"/>
    <d v="2025-11-20T00:00:00"/>
    <x v="0"/>
    <n v="0"/>
  </r>
  <r>
    <n v="160"/>
    <d v="2025-10-03T00:00:00"/>
    <x v="6"/>
    <n v="2500"/>
    <d v="2026-01-03T00:00:00"/>
    <m/>
    <d v="2025-11-20T00:00:00"/>
    <x v="1"/>
    <n v="0"/>
  </r>
  <r>
    <n v="161"/>
    <d v="2024-12-18T00:00:00"/>
    <x v="10"/>
    <n v="1900"/>
    <d v="2025-03-18T00:00:00"/>
    <d v="2025-05-05T00:00:00"/>
    <d v="2025-11-20T00:00:00"/>
    <x v="0"/>
    <n v="0"/>
  </r>
  <r>
    <n v="162"/>
    <d v="2025-11-02T00:00:00"/>
    <x v="11"/>
    <n v="8400"/>
    <d v="2026-02-02T00:00:00"/>
    <m/>
    <d v="2025-11-20T00:00:00"/>
    <x v="1"/>
    <n v="0"/>
  </r>
  <r>
    <n v="163"/>
    <d v="2025-01-29T00:00:00"/>
    <x v="14"/>
    <n v="3200"/>
    <d v="2025-04-29T00:00:00"/>
    <d v="2025-08-01T00:00:00"/>
    <d v="2025-11-20T00:00:00"/>
    <x v="0"/>
    <n v="0"/>
  </r>
  <r>
    <n v="164"/>
    <d v="2025-09-14T00:00:00"/>
    <x v="8"/>
    <n v="4700"/>
    <d v="2025-12-14T00:00:00"/>
    <m/>
    <d v="2025-11-20T00:00:00"/>
    <x v="1"/>
    <n v="0"/>
  </r>
  <r>
    <n v="165"/>
    <d v="2025-04-08T00:00:00"/>
    <x v="2"/>
    <n v="1150"/>
    <d v="2025-07-08T00:00:00"/>
    <m/>
    <d v="2025-11-20T00:00:00"/>
    <x v="2"/>
    <n v="135"/>
  </r>
  <r>
    <n v="166"/>
    <d v="2025-10-22T00:00:00"/>
    <x v="3"/>
    <n v="5300"/>
    <d v="2026-01-22T00:00:00"/>
    <d v="2025-06-15T00:00:00"/>
    <d v="2025-11-20T00:00:00"/>
    <x v="0"/>
    <n v="0"/>
  </r>
  <r>
    <n v="167"/>
    <d v="2026-01-17T00:00:00"/>
    <x v="9"/>
    <n v="15000"/>
    <d v="2026-04-17T00:00:00"/>
    <m/>
    <d v="2025-11-20T00:00:00"/>
    <x v="1"/>
    <n v="0"/>
  </r>
  <r>
    <n v="168"/>
    <d v="2025-03-06T00:00:00"/>
    <x v="12"/>
    <n v="650"/>
    <d v="2025-06-06T00:00:00"/>
    <m/>
    <d v="2025-11-20T00:00:00"/>
    <x v="2"/>
    <n v="167"/>
  </r>
  <r>
    <n v="169"/>
    <d v="2025-12-09T00:00:00"/>
    <x v="4"/>
    <n v="2800"/>
    <d v="2026-03-09T00:00:00"/>
    <d v="2025-04-20T00:00:00"/>
    <d v="2025-11-20T00:00:00"/>
    <x v="0"/>
    <n v="0"/>
  </r>
  <r>
    <n v="170"/>
    <d v="2025-11-19T00:00:00"/>
    <x v="7"/>
    <n v="1850"/>
    <d v="2026-02-19T00:00:00"/>
    <d v="2025-11-01T00:00:00"/>
    <d v="2025-11-20T00:00:00"/>
    <x v="0"/>
    <n v="0"/>
  </r>
  <r>
    <n v="171"/>
    <d v="2025-01-21T00:00:00"/>
    <x v="13"/>
    <n v="7100"/>
    <d v="2025-04-21T00:00:00"/>
    <m/>
    <d v="2025-11-20T00:00:00"/>
    <x v="2"/>
    <n v="213"/>
  </r>
  <r>
    <n v="172"/>
    <d v="2025-07-04T00:00:00"/>
    <x v="0"/>
    <n v="2600"/>
    <d v="2025-10-04T00:00:00"/>
    <d v="2026-01-01T00:00:00"/>
    <d v="2025-11-20T00:00:00"/>
    <x v="0"/>
    <n v="0"/>
  </r>
  <r>
    <n v="173"/>
    <d v="2025-12-07T00:00:00"/>
    <x v="5"/>
    <n v="4400"/>
    <d v="2026-03-07T00:00:00"/>
    <m/>
    <d v="2025-11-20T00:00:00"/>
    <x v="1"/>
    <n v="0"/>
  </r>
  <r>
    <n v="174"/>
    <d v="2025-09-23T00:00:00"/>
    <x v="15"/>
    <n v="9500"/>
    <d v="2025-12-23T00:00:00"/>
    <d v="2025-07-15T00:00:00"/>
    <d v="2025-11-20T00:00:00"/>
    <x v="0"/>
    <n v="0"/>
  </r>
  <r>
    <n v="175"/>
    <d v="2026-02-13T00:00:00"/>
    <x v="1"/>
    <n v="3300"/>
    <d v="2026-05-13T00:00:00"/>
    <m/>
    <d v="2025-11-20T00:00:00"/>
    <x v="1"/>
    <n v="0"/>
  </r>
  <r>
    <n v="176"/>
    <d v="2025-04-01T00:00:00"/>
    <x v="2"/>
    <n v="1550"/>
    <d v="2025-07-01T00:00:00"/>
    <d v="2025-06-05T00:00:00"/>
    <d v="2025-11-20T00:00:00"/>
    <x v="0"/>
    <n v="0"/>
  </r>
  <r>
    <n v="177"/>
    <d v="2025-12-17T00:00:00"/>
    <x v="3"/>
    <n v="5900"/>
    <d v="2026-03-17T00:00:00"/>
    <d v="2025-11-10T00:00:00"/>
    <d v="2025-11-20T00:00:00"/>
    <x v="0"/>
    <n v="0"/>
  </r>
  <r>
    <n v="178"/>
    <d v="2025-02-28T00:00:00"/>
    <x v="9"/>
    <n v="2750"/>
    <d v="2025-05-28T00:00:00"/>
    <m/>
    <d v="2025-11-20T00:00:00"/>
    <x v="2"/>
    <n v="176"/>
  </r>
  <r>
    <n v="179"/>
    <d v="2025-08-02T00:00:00"/>
    <x v="4"/>
    <n v="1000"/>
    <d v="2025-11-02T00:00:00"/>
    <d v="2025-04-20T00:00:00"/>
    <d v="2025-11-20T00:00:00"/>
    <x v="0"/>
    <n v="0"/>
  </r>
  <r>
    <n v="180"/>
    <d v="2025-10-11T00:00:00"/>
    <x v="12"/>
    <n v="6800"/>
    <d v="2026-01-11T00:00:00"/>
    <d v="2025-06-10T00:00:00"/>
    <d v="2025-11-20T00:00:00"/>
    <x v="0"/>
    <n v="0"/>
  </r>
  <r>
    <n v="181"/>
    <d v="2025-01-04T00:00:00"/>
    <x v="7"/>
    <n v="1890.5"/>
    <d v="2025-04-04T00:00:00"/>
    <m/>
    <d v="2025-11-20T00:00:00"/>
    <x v="2"/>
    <n v="230"/>
  </r>
  <r>
    <n v="182"/>
    <d v="2025-03-16T00:00:00"/>
    <x v="6"/>
    <n v="4100"/>
    <d v="2025-06-16T00:00:00"/>
    <m/>
    <d v="2025-11-20T00:00:00"/>
    <x v="2"/>
    <n v="157"/>
  </r>
  <r>
    <n v="183"/>
    <d v="2025-11-27T00:00:00"/>
    <x v="8"/>
    <n v="750"/>
    <d v="2026-02-27T00:00:00"/>
    <d v="2025-10-01T00:00:00"/>
    <d v="2025-11-20T00:00:00"/>
    <x v="0"/>
    <n v="0"/>
  </r>
  <r>
    <n v="184"/>
    <d v="2026-01-12T00:00:00"/>
    <x v="10"/>
    <n v="2980"/>
    <d v="2026-04-12T00:00:00"/>
    <d v="2025-03-20T00:00:00"/>
    <d v="2025-11-20T00:00:00"/>
    <x v="0"/>
    <n v="0"/>
  </r>
  <r>
    <n v="185"/>
    <d v="2025-06-05T00:00:00"/>
    <x v="11"/>
    <n v="1250"/>
    <d v="2025-09-05T00:00:00"/>
    <d v="2025-11-15T00:00:00"/>
    <d v="2025-11-20T00:00:00"/>
    <x v="0"/>
    <n v="0"/>
  </r>
  <r>
    <n v="186"/>
    <d v="2024-12-20T00:00:00"/>
    <x v="14"/>
    <n v="9870.2999999999993"/>
    <d v="2025-03-20T00:00:00"/>
    <d v="2025-09-15T00:00:00"/>
    <d v="2025-11-20T00:00:00"/>
    <x v="0"/>
    <n v="0"/>
  </r>
  <r>
    <n v="187"/>
    <d v="2025-08-13T00:00:00"/>
    <x v="2"/>
    <n v="645"/>
    <d v="2025-11-13T00:00:00"/>
    <d v="2025-11-01T00:00:00"/>
    <d v="2025-11-20T00:00:00"/>
    <x v="0"/>
    <n v="0"/>
  </r>
  <r>
    <n v="188"/>
    <d v="2025-05-09T00:00:00"/>
    <x v="3"/>
    <n v="3200"/>
    <d v="2025-08-09T00:00:00"/>
    <m/>
    <d v="2025-11-20T00:00:00"/>
    <x v="2"/>
    <n v="103"/>
  </r>
  <r>
    <n v="189"/>
    <d v="2025-07-24T00:00:00"/>
    <x v="9"/>
    <n v="150"/>
    <d v="2025-10-24T00:00:00"/>
    <d v="2025-03-20T00:00:00"/>
    <d v="2025-11-20T00:00:00"/>
    <x v="0"/>
    <n v="0"/>
  </r>
  <r>
    <n v="190"/>
    <d v="2026-02-03T00:00:00"/>
    <x v="4"/>
    <n v="11230"/>
    <d v="2026-05-03T00:00:00"/>
    <m/>
    <d v="2025-11-20T00:00:00"/>
    <x v="1"/>
    <n v="0"/>
  </r>
  <r>
    <n v="191"/>
    <d v="2024-12-15T00:00:00"/>
    <x v="12"/>
    <n v="4500"/>
    <d v="2025-03-15T00:00:00"/>
    <d v="2025-12-15T00:00:00"/>
    <d v="2025-11-20T00:00:00"/>
    <x v="0"/>
    <n v="0"/>
  </r>
  <r>
    <n v="192"/>
    <d v="2025-10-21T00:00:00"/>
    <x v="7"/>
    <n v="7890"/>
    <d v="2026-01-21T00:00:00"/>
    <d v="2025-09-05T00:00:00"/>
    <d v="2025-11-20T00:00:00"/>
    <x v="0"/>
    <n v="0"/>
  </r>
  <r>
    <n v="193"/>
    <d v="2025-09-10T00:00:00"/>
    <x v="13"/>
    <n v="1050"/>
    <d v="2025-12-10T00:00:00"/>
    <d v="2025-06-20T00:00:00"/>
    <d v="2025-11-20T00:00:00"/>
    <x v="0"/>
    <n v="0"/>
  </r>
  <r>
    <n v="194"/>
    <d v="2025-05-28T00:00:00"/>
    <x v="0"/>
    <n v="3450.9"/>
    <d v="2025-08-28T00:00:00"/>
    <m/>
    <d v="2025-11-20T00:00:00"/>
    <x v="2"/>
    <n v="84"/>
  </r>
  <r>
    <n v="195"/>
    <d v="2025-03-01T00:00:00"/>
    <x v="5"/>
    <n v="2150"/>
    <d v="2025-06-01T00:00:00"/>
    <m/>
    <d v="2025-11-20T00:00:00"/>
    <x v="2"/>
    <n v="172"/>
  </r>
  <r>
    <n v="196"/>
    <d v="2026-01-07T00:00:00"/>
    <x v="15"/>
    <n v="99.5"/>
    <d v="2026-04-07T00:00:00"/>
    <m/>
    <d v="2025-11-20T00:00:00"/>
    <x v="1"/>
    <n v="0"/>
  </r>
  <r>
    <n v="197"/>
    <d v="2026-02-26T00:00:00"/>
    <x v="1"/>
    <n v="12000"/>
    <d v="2026-05-26T00:00:00"/>
    <m/>
    <d v="2025-11-20T00:00:00"/>
    <x v="1"/>
    <n v="0"/>
  </r>
  <r>
    <n v="198"/>
    <d v="2025-11-19T00:00:00"/>
    <x v="2"/>
    <n v="350"/>
    <d v="2026-02-19T00:00:00"/>
    <d v="2025-11-01T00:00:00"/>
    <d v="2025-11-20T00:00:00"/>
    <x v="0"/>
    <n v="0"/>
  </r>
  <r>
    <n v="199"/>
    <d v="2025-12-14T00:00:00"/>
    <x v="3"/>
    <n v="6700"/>
    <d v="2026-03-14T00:00:00"/>
    <m/>
    <d v="2025-11-20T00:00:00"/>
    <x v="1"/>
    <n v="0"/>
  </r>
  <r>
    <n v="200"/>
    <d v="2025-07-20T00:00:00"/>
    <x v="9"/>
    <n v="1450"/>
    <d v="2025-10-20T00:00:00"/>
    <d v="2025-09-20T00:00:00"/>
    <d v="2025-11-20T00:00:0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FA36B-3688-419E-8215-F77B84CB7563}" name="Tabella pivot3" cacheId="0" applyNumberFormats="0" applyBorderFormats="0" applyFontFormats="0" applyPatternFormats="0" applyAlignmentFormats="0" applyWidthHeightFormats="1" dataCaption="Valori" grandTotalCaption="Total Amount" updatedVersion="8" minRefreshableVersion="3" useAutoFormatting="1" itemPrintTitles="1" createdVersion="8" indent="0" outline="1" outlineData="1" multipleFieldFilters="0" chartFormat="8" rowHeaderCaption="Customer">
  <location ref="Z1:AA18" firstHeaderRow="1" firstDataRow="1" firstDataCol="1"/>
  <pivotFields count="9">
    <pivotField showAll="0"/>
    <pivotField showAll="0"/>
    <pivotField axis="axisRow" showAll="0" sortType="descending">
      <items count="17">
        <item x="11"/>
        <item x="5"/>
        <item x="12"/>
        <item x="6"/>
        <item x="13"/>
        <item x="14"/>
        <item x="15"/>
        <item x="1"/>
        <item x="8"/>
        <item x="9"/>
        <item x="10"/>
        <item x="0"/>
        <item x="3"/>
        <item x="2"/>
        <item x="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4" showAll="0"/>
    <pivotField showAll="0"/>
    <pivotField numFmtId="14" showAll="0"/>
    <pivotField showAll="0"/>
    <pivotField showAll="0"/>
  </pivotFields>
  <rowFields count="1">
    <field x="2"/>
  </rowFields>
  <rowItems count="17">
    <i>
      <x v="9"/>
    </i>
    <i>
      <x v="15"/>
    </i>
    <i>
      <x v="13"/>
    </i>
    <i>
      <x v="7"/>
    </i>
    <i>
      <x/>
    </i>
    <i>
      <x v="12"/>
    </i>
    <i>
      <x v="14"/>
    </i>
    <i>
      <x v="5"/>
    </i>
    <i>
      <x v="3"/>
    </i>
    <i>
      <x v="2"/>
    </i>
    <i>
      <x v="8"/>
    </i>
    <i>
      <x v="4"/>
    </i>
    <i>
      <x v="10"/>
    </i>
    <i>
      <x v="11"/>
    </i>
    <i>
      <x v="1"/>
    </i>
    <i>
      <x v="6"/>
    </i>
    <i t="grand">
      <x/>
    </i>
  </rowItems>
  <colItems count="1">
    <i/>
  </colItems>
  <dataFields count="1">
    <dataField name="Invoice Total" fld="3" baseField="2" baseItem="9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F67EA-B7F4-48A0-B9DF-28596B9CC96C}" name="Tabella pivot2" cacheId="0" applyNumberFormats="0" applyBorderFormats="0" applyFontFormats="0" applyPatternFormats="0" applyAlignmentFormats="0" applyWidthHeightFormats="1" dataCaption="Valori" grandTotalCaption="Total" updatedVersion="8" minRefreshableVersion="3" showDrill="0" useAutoFormatting="1" itemPrintTitles="1" createdVersion="8" indent="0" outline="1" outlineData="1" multipleFieldFilters="0" chartFormat="13" rowHeaderCaption="Calculated Status">
  <location ref="M1:N5" firstHeaderRow="1" firstDataRow="1" firstDataCol="1"/>
  <pivotFields count="9">
    <pivotField showAll="0"/>
    <pivotField showAll="0"/>
    <pivotField showAll="0"/>
    <pivotField dataField="1"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Amount" fld="3" baseField="7" baseItem="0" numFmtId="7"/>
  </dataField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B16F7-4DED-4405-8DBA-D4AF07510499}" name="Tabella pivot1" cacheId="0" applyNumberFormats="0" applyBorderFormats="0" applyFontFormats="0" applyPatternFormats="0" applyAlignmentFormats="0" applyWidthHeightFormats="1" dataCaption="Valori" grandTotalCaption="Total" updatedVersion="8" minRefreshableVersion="3" useAutoFormatting="1" itemPrintTitles="1" createdVersion="8" indent="0" outline="1" outlineData="1" multipleFieldFilters="0" chartFormat="7" rowHeaderCaption="Calculated Status">
  <location ref="A1:B5" firstHeaderRow="1" firstDataRow="1" firstDataCol="1"/>
  <pivotFields count="9">
    <pivotField dataField="1" showAll="0"/>
    <pivotField showAll="0"/>
    <pivotField showAll="0"/>
    <pivotField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Invoice Number" fld="0" subtotal="count" baseField="7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topLeftCell="B1" workbookViewId="0">
      <pane ySplit="1" topLeftCell="A2" activePane="bottomLeft" state="frozen"/>
      <selection pane="bottomLeft" activeCell="F205" sqref="F205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autoFilter ref="I1:I201" xr:uid="{ADD82BC1-84A4-4280-BEAB-AE99592285DD}"/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tabSelected="1" zoomScaleNormal="100" workbookViewId="0">
      <selection activeCell="C11" sqref="C11"/>
    </sheetView>
  </sheetViews>
  <sheetFormatPr defaultRowHeight="14.5" x14ac:dyDescent="0.35"/>
  <cols>
    <col min="1" max="1" width="15.08984375" style="9" customWidth="1"/>
    <col min="3" max="3" width="28.90625" customWidth="1"/>
    <col min="4" max="4" width="28.81640625" customWidth="1"/>
    <col min="5" max="6" width="6.36328125" customWidth="1"/>
    <col min="7" max="7" width="20.90625" customWidth="1"/>
    <col min="8" max="8" width="50.54296875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25" t="s">
        <v>31</v>
      </c>
      <c r="D2" s="26"/>
      <c r="G2" s="25" t="s">
        <v>26</v>
      </c>
      <c r="H2" s="26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Dashboard!C4)</f>
        <v>9</v>
      </c>
      <c r="G4" s="16" t="s">
        <v>10</v>
      </c>
      <c r="H4" s="19">
        <f>COUNTIFS(Analysis_Sheet!C:C, G4, Analysis_Sheet!H:H, "Overdue") + COUNTIFS(Analysis_Sheet!C:C, G4, Analysis_Sheet!H:H, "Unpaid")</f>
        <v>2</v>
      </c>
    </row>
    <row r="5" spans="1:8" ht="60" customHeight="1" x14ac:dyDescent="0.35">
      <c r="A5" s="8" t="s">
        <v>9</v>
      </c>
      <c r="D5" s="20" t="str">
        <f ca="1">_xlfn.FORMULATEXT(D4)</f>
        <v>=CONTA.SE(Analysis_Sheet!C:C; Dashboard!C4)</v>
      </c>
      <c r="H5" s="20" t="str">
        <f ca="1">_xlfn.FORMULATEXT(H4)</f>
        <v>=CONTA.PIÙ.SE(Analysis_Sheet!C:C; G4; Analysis_Sheet!H:H; "Overdue") + CONTA.PIÙ.SE(Analysis_Sheet!C:C; G4; Analysis_Sheet!H:H; "Unpaid")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25" t="s">
        <v>32</v>
      </c>
      <c r="D9" s="26"/>
      <c r="G9" s="25" t="s">
        <v>28</v>
      </c>
      <c r="H9" s="26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ht="58.5" customHeight="1" x14ac:dyDescent="0.35">
      <c r="A12" s="8" t="s">
        <v>15</v>
      </c>
      <c r="D12" s="20" t="str">
        <f ca="1">_xlfn.FORMULATEXT(D11)</f>
        <v>=SOMMA.SE(Analysis_Sheet!C:C;C11; Analysis_Sheet!D:D )</v>
      </c>
      <c r="H12" s="21" t="str">
        <f ca="1">_xlfn.FORMULATEXT(H11)</f>
        <v>=SOMMA.PIÙ.SE(Analysis_Sheet!D:D; Analysis_Sheet!C:C; G11; Analysis_Sheet!H:H; "Overdue") + SOMMA.PIÙ.SE(Analysis_Sheet!D:D; Analysis_Sheet!C:C; G11; Analysis_Sheet!H:H; "Unpaid")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1">
    <dataValidation type="list" allowBlank="1" showInputMessage="1" showErrorMessage="1" sqref="C11 G11 C4 G4" xr:uid="{DF3C6C81-16D2-4586-94DA-3AE0330AC6DC}">
      <formula1>$A$2:$A$17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593E3-7876-49B2-AB89-4C24A8E228CA}">
  <dimension ref="A1:AA18"/>
  <sheetViews>
    <sheetView topLeftCell="AL7" zoomScale="85" zoomScaleNormal="85" workbookViewId="0">
      <selection activeCell="AA18" sqref="AA18"/>
    </sheetView>
  </sheetViews>
  <sheetFormatPr defaultRowHeight="14.5" x14ac:dyDescent="0.35"/>
  <cols>
    <col min="1" max="1" width="17.6328125" bestFit="1" customWidth="1"/>
    <col min="2" max="2" width="22" bestFit="1" customWidth="1"/>
    <col min="13" max="13" width="17.6328125" bestFit="1" customWidth="1"/>
    <col min="14" max="14" width="12.36328125" bestFit="1" customWidth="1"/>
    <col min="26" max="26" width="12.36328125" bestFit="1" customWidth="1"/>
    <col min="27" max="27" width="18.453125" customWidth="1"/>
  </cols>
  <sheetData>
    <row r="1" spans="1:27" x14ac:dyDescent="0.35">
      <c r="A1" s="22" t="s">
        <v>23</v>
      </c>
      <c r="B1" t="s">
        <v>36</v>
      </c>
      <c r="M1" s="22" t="s">
        <v>23</v>
      </c>
      <c r="N1" t="s">
        <v>30</v>
      </c>
      <c r="Z1" s="22" t="s">
        <v>5</v>
      </c>
      <c r="AA1" t="s">
        <v>38</v>
      </c>
    </row>
    <row r="2" spans="1:27" x14ac:dyDescent="0.35">
      <c r="A2" s="9" t="s">
        <v>33</v>
      </c>
      <c r="B2">
        <v>15</v>
      </c>
      <c r="M2" s="9" t="s">
        <v>33</v>
      </c>
      <c r="N2" s="23">
        <v>59063.4</v>
      </c>
      <c r="Z2" s="9" t="s">
        <v>3</v>
      </c>
      <c r="AA2" s="24">
        <v>87093.3</v>
      </c>
    </row>
    <row r="3" spans="1:27" x14ac:dyDescent="0.35">
      <c r="A3" s="9" t="s">
        <v>34</v>
      </c>
      <c r="B3">
        <v>145</v>
      </c>
      <c r="M3" s="9" t="s">
        <v>34</v>
      </c>
      <c r="N3" s="23">
        <v>601412.84000000008</v>
      </c>
      <c r="Z3" s="9" t="s">
        <v>1</v>
      </c>
      <c r="AA3" s="24">
        <v>84414</v>
      </c>
    </row>
    <row r="4" spans="1:27" x14ac:dyDescent="0.35">
      <c r="A4" s="9" t="s">
        <v>35</v>
      </c>
      <c r="B4">
        <v>40</v>
      </c>
      <c r="M4" s="9" t="s">
        <v>35</v>
      </c>
      <c r="N4" s="23">
        <v>164252.51</v>
      </c>
      <c r="Z4" s="9" t="s">
        <v>0</v>
      </c>
      <c r="AA4" s="24">
        <v>76889.8</v>
      </c>
    </row>
    <row r="5" spans="1:27" x14ac:dyDescent="0.35">
      <c r="A5" s="9" t="s">
        <v>37</v>
      </c>
      <c r="B5">
        <v>200</v>
      </c>
      <c r="M5" s="9" t="s">
        <v>37</v>
      </c>
      <c r="N5" s="23">
        <v>824728.75000000012</v>
      </c>
      <c r="Z5" s="9" t="s">
        <v>11</v>
      </c>
      <c r="AA5" s="24">
        <v>63524</v>
      </c>
    </row>
    <row r="6" spans="1:27" x14ac:dyDescent="0.35">
      <c r="Z6" s="9" t="s">
        <v>16</v>
      </c>
      <c r="AA6" s="24">
        <v>62450</v>
      </c>
    </row>
    <row r="7" spans="1:27" x14ac:dyDescent="0.35">
      <c r="Z7" s="9" t="s">
        <v>9</v>
      </c>
      <c r="AA7" s="24">
        <v>61494.36</v>
      </c>
    </row>
    <row r="8" spans="1:27" x14ac:dyDescent="0.35">
      <c r="Z8" s="9" t="s">
        <v>2</v>
      </c>
      <c r="AA8" s="24">
        <v>55903.979999999996</v>
      </c>
    </row>
    <row r="9" spans="1:27" x14ac:dyDescent="0.35">
      <c r="Z9" s="9" t="s">
        <v>18</v>
      </c>
      <c r="AA9" s="24">
        <v>51475.8</v>
      </c>
    </row>
    <row r="10" spans="1:27" x14ac:dyDescent="0.35">
      <c r="Z10" s="9" t="s">
        <v>13</v>
      </c>
      <c r="AA10" s="24">
        <v>48792.619999999995</v>
      </c>
    </row>
    <row r="11" spans="1:27" x14ac:dyDescent="0.35">
      <c r="Z11" s="9" t="s">
        <v>4</v>
      </c>
      <c r="AA11" s="24">
        <v>48190</v>
      </c>
    </row>
    <row r="12" spans="1:27" x14ac:dyDescent="0.35">
      <c r="Z12" s="9" t="s">
        <v>14</v>
      </c>
      <c r="AA12" s="24">
        <v>44341.479999999996</v>
      </c>
    </row>
    <row r="13" spans="1:27" x14ac:dyDescent="0.35">
      <c r="Z13" s="9" t="s">
        <v>17</v>
      </c>
      <c r="AA13" s="24">
        <v>37947.1</v>
      </c>
    </row>
    <row r="14" spans="1:27" x14ac:dyDescent="0.35">
      <c r="Z14" s="9" t="s">
        <v>15</v>
      </c>
      <c r="AA14" s="24">
        <v>33615.4</v>
      </c>
    </row>
    <row r="15" spans="1:27" x14ac:dyDescent="0.35">
      <c r="Z15" s="9" t="s">
        <v>10</v>
      </c>
      <c r="AA15" s="24">
        <v>28290.74</v>
      </c>
    </row>
    <row r="16" spans="1:27" x14ac:dyDescent="0.35">
      <c r="Z16" s="9" t="s">
        <v>12</v>
      </c>
      <c r="AA16" s="24">
        <v>23166.67</v>
      </c>
    </row>
    <row r="17" spans="26:27" x14ac:dyDescent="0.35">
      <c r="Z17" s="9" t="s">
        <v>19</v>
      </c>
      <c r="AA17" s="24">
        <v>17139.5</v>
      </c>
    </row>
    <row r="18" spans="26:27" x14ac:dyDescent="0.35">
      <c r="Z18" s="9" t="s">
        <v>30</v>
      </c>
      <c r="AA18" s="24">
        <v>824728.75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Invoice_Master_Data</vt:lpstr>
      <vt:lpstr>Analysis_Sheet</vt:lpstr>
      <vt:lpstr>Dashboard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2025-12-01T23:16:28Z</dcterms:modified>
</cp:coreProperties>
</file>