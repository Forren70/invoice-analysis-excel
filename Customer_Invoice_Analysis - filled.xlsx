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invoice-analysis-excel\"/>
    </mc:Choice>
  </mc:AlternateContent>
  <xr:revisionPtr revIDLastSave="0" documentId="13_ncr:1_{819FF802-C8F2-46EE-841D-10C06F00C86E}" xr6:coauthVersionLast="47" xr6:coauthVersionMax="47" xr10:uidLastSave="{00000000-0000-0000-0000-000000000000}"/>
  <bookViews>
    <workbookView xWindow="-110" yWindow="-110" windowWidth="19420" windowHeight="10300" activeTab="2" xr2:uid="{56643878-06B9-462D-81B7-435828026F01}"/>
  </bookViews>
  <sheets>
    <sheet name="Invoice_Master_Data" sheetId="1" r:id="rId1"/>
    <sheet name="Analysis_Sheet" sheetId="2" r:id="rId2"/>
    <sheet name="Dashboar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3" l="1"/>
  <c r="H4" i="3"/>
  <c r="D11" i="3"/>
  <c r="D4" i="3"/>
  <c r="I2" i="2" l="1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160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" i="2"/>
</calcChain>
</file>

<file path=xl/sharedStrings.xml><?xml version="1.0" encoding="utf-8"?>
<sst xmlns="http://schemas.openxmlformats.org/spreadsheetml/2006/main" count="450" uniqueCount="33">
  <si>
    <t>Sereni</t>
  </si>
  <si>
    <t>Villani</t>
  </si>
  <si>
    <t>Trefoloni</t>
  </si>
  <si>
    <t>Risti</t>
  </si>
  <si>
    <t>Fornari</t>
  </si>
  <si>
    <t>Customer</t>
  </si>
  <si>
    <t>Invoice Number</t>
  </si>
  <si>
    <t>Amount</t>
  </si>
  <si>
    <t>Due Date</t>
  </si>
  <si>
    <t>Scottà</t>
  </si>
  <si>
    <t>Rossi M.</t>
  </si>
  <si>
    <t>Pinca S.</t>
  </si>
  <si>
    <t>Bianchi R.</t>
  </si>
  <si>
    <t>Lanza A.</t>
  </si>
  <si>
    <t>Pinca V.</t>
  </si>
  <si>
    <t>Rossi F.</t>
  </si>
  <si>
    <t>Bianchi A.</t>
  </si>
  <si>
    <t>Lanza C.</t>
  </si>
  <si>
    <t>Marini E.</t>
  </si>
  <si>
    <t>Marini G.</t>
  </si>
  <si>
    <t>Issue Date</t>
  </si>
  <si>
    <t>29/02/2025</t>
  </si>
  <si>
    <t>Days Overdue</t>
  </si>
  <si>
    <t>Calculated Status</t>
  </si>
  <si>
    <t>Reference Date</t>
  </si>
  <si>
    <t>Payment Date</t>
  </si>
  <si>
    <t>Total Outstanding Invoice Count</t>
  </si>
  <si>
    <t>Selected Customer</t>
  </si>
  <si>
    <t>Total Outstanding Amount</t>
  </si>
  <si>
    <t>Invoice Count</t>
  </si>
  <si>
    <t>Total Amount</t>
  </si>
  <si>
    <t>Total Invoices Issued</t>
  </si>
  <si>
    <t>Total Amount Billed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</si>
</sst>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€&quot;* #,##0.00_-;\-&quot;€&quot;* #,##0.00_-;_-&quot;€&quot;* &quot;-&quot;??_-;_-@_-"/>
    <numFmt numFmtId="165" formatCode="_-[$€-2]\ * #,##0.00_-;\-[$€-2]\ * #,##0.00_-;_-[$€-2]\ * &quot;-&quot;??_-"/>
    <numFmt numFmtId="166" formatCode="#,##0.00\ &quot;€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ahoma"/>
      <family val="2"/>
    </font>
    <font>
      <b/>
      <sz val="12"/>
      <color indexed="9"/>
      <name val="Arial"/>
      <family val="2"/>
    </font>
    <font>
      <sz val="10"/>
      <name val="Arial"/>
      <family val="2"/>
    </font>
    <font>
      <sz val="12"/>
      <color theme="1"/>
      <name val="Arial"/>
      <family val="2"/>
    </font>
    <font>
      <sz val="10"/>
      <name val="Times New Roman"/>
      <family val="1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164" fontId="1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2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14" fontId="7" fillId="0" borderId="1" xfId="0" applyNumberFormat="1" applyFont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 wrapText="1" readingOrder="1"/>
    </xf>
    <xf numFmtId="0" fontId="3" fillId="2" borderId="1" xfId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 readingOrder="1"/>
    </xf>
    <xf numFmtId="0" fontId="0" fillId="0" borderId="0" xfId="0" applyAlignment="1">
      <alignment horizontal="left"/>
    </xf>
    <xf numFmtId="0" fontId="3" fillId="2" borderId="1" xfId="1" applyFont="1" applyFill="1" applyBorder="1" applyAlignment="1">
      <alignment horizontal="right" vertical="center"/>
    </xf>
    <xf numFmtId="164" fontId="5" fillId="0" borderId="1" xfId="3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4" borderId="1" xfId="2" applyFont="1" applyFill="1" applyBorder="1" applyAlignment="1">
      <alignment horizontal="center"/>
    </xf>
    <xf numFmtId="0" fontId="9" fillId="5" borderId="1" xfId="5" applyFont="1" applyFill="1" applyBorder="1" applyAlignment="1">
      <alignment horizontal="center"/>
    </xf>
    <xf numFmtId="0" fontId="9" fillId="3" borderId="1" xfId="5" applyFont="1" applyBorder="1" applyAlignment="1">
      <alignment horizontal="center"/>
    </xf>
    <xf numFmtId="166" fontId="9" fillId="3" borderId="1" xfId="5" applyNumberFormat="1" applyFont="1" applyBorder="1" applyAlignment="1">
      <alignment horizontal="center"/>
    </xf>
    <xf numFmtId="0" fontId="10" fillId="0" borderId="2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0" fontId="9" fillId="3" borderId="1" xfId="5" applyNumberFormat="1" applyFont="1" applyBorder="1" applyAlignment="1">
      <alignment horizontal="center"/>
    </xf>
  </cellXfs>
  <cellStyles count="6">
    <cellStyle name="40% - Colore 3" xfId="5" builtinId="39"/>
    <cellStyle name="Euro 6" xfId="4" xr:uid="{83F31EE4-035D-4E53-9E2D-BE7A874B8AB6}"/>
    <cellStyle name="Normale" xfId="0" builtinId="0"/>
    <cellStyle name="Normale 2 2 2" xfId="2" xr:uid="{B1495BE0-ED99-4F77-8E66-8298A5F7E8FF}"/>
    <cellStyle name="Normale_Scadenziario crediti" xfId="1" xr:uid="{35419C30-1153-464C-BF4A-8DC9B04ED9AD}"/>
    <cellStyle name="Valuta 7" xfId="3" xr:uid="{C47ED96A-AAD7-4410-AB8F-412DFEB855FF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9EC4-53E9-4C94-BBDB-1B93061353BD}">
  <dimension ref="A1:F201"/>
  <sheetViews>
    <sheetView workbookViewId="0">
      <selection activeCell="C196" sqref="C196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7.08984375" customWidth="1"/>
  </cols>
  <sheetData>
    <row r="1" spans="1:6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</row>
    <row r="2" spans="1:6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</row>
    <row r="3" spans="1:6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</row>
    <row r="4" spans="1:6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</row>
    <row r="5" spans="1:6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</row>
    <row r="6" spans="1:6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</row>
    <row r="7" spans="1:6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</row>
    <row r="8" spans="1:6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</row>
    <row r="9" spans="1:6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</row>
    <row r="10" spans="1:6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</row>
    <row r="11" spans="1:6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</row>
    <row r="12" spans="1:6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</row>
    <row r="13" spans="1:6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</row>
    <row r="14" spans="1:6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</row>
    <row r="15" spans="1:6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</row>
    <row r="16" spans="1:6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</row>
    <row r="17" spans="1:6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</row>
    <row r="18" spans="1:6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</row>
    <row r="19" spans="1:6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</row>
    <row r="20" spans="1:6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</row>
    <row r="21" spans="1:6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</row>
    <row r="22" spans="1:6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</row>
    <row r="23" spans="1:6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</row>
    <row r="24" spans="1:6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</row>
    <row r="25" spans="1:6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</row>
    <row r="26" spans="1:6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</row>
    <row r="27" spans="1:6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</row>
    <row r="28" spans="1:6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</row>
    <row r="29" spans="1:6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</row>
    <row r="30" spans="1:6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</row>
    <row r="31" spans="1:6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</row>
    <row r="32" spans="1:6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</row>
    <row r="33" spans="1:6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</row>
    <row r="34" spans="1:6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</row>
    <row r="35" spans="1:6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</row>
    <row r="36" spans="1:6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</row>
    <row r="37" spans="1:6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</row>
    <row r="38" spans="1:6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</row>
    <row r="39" spans="1:6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</row>
    <row r="40" spans="1:6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</row>
    <row r="41" spans="1:6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</row>
    <row r="42" spans="1:6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</row>
    <row r="43" spans="1:6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</row>
    <row r="44" spans="1:6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</row>
    <row r="45" spans="1:6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</row>
    <row r="46" spans="1:6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</row>
    <row r="47" spans="1:6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</row>
    <row r="48" spans="1:6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</row>
    <row r="49" spans="1:6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</row>
    <row r="50" spans="1:6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</row>
    <row r="51" spans="1:6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</row>
    <row r="52" spans="1:6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</row>
    <row r="53" spans="1:6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</row>
    <row r="54" spans="1:6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</row>
    <row r="55" spans="1:6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</row>
    <row r="56" spans="1:6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</row>
    <row r="57" spans="1:6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</row>
    <row r="58" spans="1:6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</row>
    <row r="59" spans="1:6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</row>
    <row r="60" spans="1:6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</row>
    <row r="61" spans="1:6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</row>
    <row r="62" spans="1:6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</row>
    <row r="63" spans="1:6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</row>
    <row r="64" spans="1:6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</row>
    <row r="65" spans="1:6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</row>
    <row r="66" spans="1:6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</row>
    <row r="67" spans="1:6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</row>
    <row r="68" spans="1:6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</row>
    <row r="69" spans="1:6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</row>
    <row r="70" spans="1:6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</row>
    <row r="71" spans="1:6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</row>
    <row r="72" spans="1:6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</row>
    <row r="73" spans="1:6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</row>
    <row r="74" spans="1:6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</row>
    <row r="75" spans="1:6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</row>
    <row r="76" spans="1:6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</row>
    <row r="77" spans="1:6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</row>
    <row r="78" spans="1:6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</row>
    <row r="79" spans="1:6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</row>
    <row r="80" spans="1:6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</row>
    <row r="81" spans="1:6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</row>
    <row r="82" spans="1:6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</row>
    <row r="83" spans="1:6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</row>
    <row r="84" spans="1:6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</row>
    <row r="85" spans="1:6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</row>
    <row r="86" spans="1:6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</row>
    <row r="87" spans="1:6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</row>
    <row r="88" spans="1:6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</row>
    <row r="89" spans="1:6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</row>
    <row r="90" spans="1:6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</row>
    <row r="91" spans="1:6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</row>
    <row r="92" spans="1:6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</row>
    <row r="93" spans="1:6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</row>
    <row r="94" spans="1:6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</row>
    <row r="95" spans="1:6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</row>
    <row r="96" spans="1:6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</row>
    <row r="97" spans="1:6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</row>
    <row r="98" spans="1:6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</row>
    <row r="99" spans="1:6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</row>
    <row r="100" spans="1:6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</row>
    <row r="101" spans="1:6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</row>
    <row r="102" spans="1:6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</row>
    <row r="103" spans="1:6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</row>
    <row r="104" spans="1:6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</row>
    <row r="105" spans="1:6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</row>
    <row r="106" spans="1:6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</row>
    <row r="107" spans="1:6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</row>
    <row r="108" spans="1:6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</row>
    <row r="109" spans="1:6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</row>
    <row r="110" spans="1:6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</row>
    <row r="111" spans="1:6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</row>
    <row r="112" spans="1:6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</row>
    <row r="113" spans="1:6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</row>
    <row r="114" spans="1:6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</row>
    <row r="115" spans="1:6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</row>
    <row r="116" spans="1:6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</row>
    <row r="117" spans="1:6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</row>
    <row r="118" spans="1:6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</row>
    <row r="119" spans="1:6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</row>
    <row r="120" spans="1:6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</row>
    <row r="121" spans="1:6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</row>
    <row r="122" spans="1:6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</row>
    <row r="123" spans="1:6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</row>
    <row r="124" spans="1:6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</row>
    <row r="125" spans="1:6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</row>
    <row r="126" spans="1:6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</row>
    <row r="127" spans="1:6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</row>
    <row r="128" spans="1:6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</row>
    <row r="129" spans="1:6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</row>
    <row r="130" spans="1:6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</row>
    <row r="131" spans="1:6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</row>
    <row r="132" spans="1:6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</row>
    <row r="133" spans="1:6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</row>
    <row r="134" spans="1:6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</row>
    <row r="135" spans="1:6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</row>
    <row r="136" spans="1:6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</row>
    <row r="137" spans="1:6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</row>
    <row r="138" spans="1:6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</row>
    <row r="139" spans="1:6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</row>
    <row r="140" spans="1:6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</row>
    <row r="141" spans="1:6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</row>
    <row r="142" spans="1:6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</row>
    <row r="143" spans="1:6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</row>
    <row r="144" spans="1:6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</row>
    <row r="145" spans="1:6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</row>
    <row r="146" spans="1:6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</row>
    <row r="147" spans="1:6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</row>
    <row r="148" spans="1:6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</row>
    <row r="149" spans="1:6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</row>
    <row r="150" spans="1:6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</row>
    <row r="151" spans="1:6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</row>
    <row r="152" spans="1:6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</row>
    <row r="153" spans="1:6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</row>
    <row r="154" spans="1:6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</row>
    <row r="155" spans="1:6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</row>
    <row r="156" spans="1:6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</row>
    <row r="157" spans="1:6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</row>
    <row r="158" spans="1:6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</row>
    <row r="159" spans="1:6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</row>
    <row r="160" spans="1:6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</row>
    <row r="161" spans="1:6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</row>
    <row r="162" spans="1:6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</row>
    <row r="163" spans="1:6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</row>
    <row r="164" spans="1:6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</row>
    <row r="165" spans="1:6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</row>
    <row r="166" spans="1:6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</row>
    <row r="167" spans="1:6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</row>
    <row r="168" spans="1:6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</row>
    <row r="169" spans="1:6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</row>
    <row r="170" spans="1:6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</row>
    <row r="171" spans="1:6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</row>
    <row r="172" spans="1:6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</row>
    <row r="173" spans="1:6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</row>
    <row r="174" spans="1:6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</row>
    <row r="175" spans="1:6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</row>
    <row r="176" spans="1:6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</row>
    <row r="177" spans="1:6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</row>
    <row r="178" spans="1:6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</row>
    <row r="179" spans="1:6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</row>
    <row r="180" spans="1:6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</row>
    <row r="181" spans="1:6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</row>
    <row r="182" spans="1:6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</row>
    <row r="183" spans="1:6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</row>
    <row r="184" spans="1:6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</row>
    <row r="185" spans="1:6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</row>
    <row r="186" spans="1:6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</row>
    <row r="187" spans="1:6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</row>
    <row r="188" spans="1:6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</row>
    <row r="189" spans="1:6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</row>
    <row r="190" spans="1:6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</row>
    <row r="191" spans="1:6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</row>
    <row r="192" spans="1:6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</row>
    <row r="193" spans="1:6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</row>
    <row r="194" spans="1:6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</row>
    <row r="195" spans="1:6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</row>
    <row r="196" spans="1:6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</row>
    <row r="197" spans="1:6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</row>
    <row r="198" spans="1:6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</row>
    <row r="199" spans="1:6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</row>
    <row r="200" spans="1:6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</row>
    <row r="201" spans="1:6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82BC1-84A4-4280-BEAB-AE99592285DD}">
  <dimension ref="A1:I201"/>
  <sheetViews>
    <sheetView workbookViewId="0">
      <pane ySplit="1" topLeftCell="A152" activePane="bottomLeft" state="frozen"/>
      <selection pane="bottomLeft" activeCell="I2" sqref="I2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6.90625" style="3" customWidth="1"/>
    <col min="7" max="7" width="18.54296875" style="12" customWidth="1"/>
    <col min="8" max="8" width="21.54296875" customWidth="1"/>
    <col min="9" max="9" width="19.54296875" style="14" customWidth="1"/>
  </cols>
  <sheetData>
    <row r="1" spans="1:9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  <c r="G1" s="10" t="s">
        <v>24</v>
      </c>
      <c r="H1" s="1" t="s">
        <v>23</v>
      </c>
      <c r="I1" s="1" t="s">
        <v>22</v>
      </c>
    </row>
    <row r="2" spans="1:9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  <c r="G2" s="5">
        <v>45981</v>
      </c>
      <c r="H2" s="2" t="str">
        <f t="shared" ref="H2:H66" si="0">IF(F2&lt;&gt;"","Paid",IF(E2&lt;$G$2,"Overdue","Unpaid"))</f>
        <v>Paid</v>
      </c>
      <c r="I2" s="13">
        <f>IF(H2="Overdue", G2-E2, 0)</f>
        <v>0</v>
      </c>
    </row>
    <row r="3" spans="1:9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  <c r="G3" s="5">
        <v>45981</v>
      </c>
      <c r="H3" s="2" t="str">
        <f t="shared" si="0"/>
        <v>Unpaid</v>
      </c>
      <c r="I3" s="13">
        <f t="shared" ref="I3:I66" si="1">IF(H3="Overdue", G3-E3, 0)</f>
        <v>0</v>
      </c>
    </row>
    <row r="4" spans="1:9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  <c r="G4" s="5">
        <v>45981</v>
      </c>
      <c r="H4" s="2" t="str">
        <f t="shared" si="0"/>
        <v>Paid</v>
      </c>
      <c r="I4" s="13">
        <f t="shared" si="1"/>
        <v>0</v>
      </c>
    </row>
    <row r="5" spans="1:9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  <c r="G5" s="5">
        <v>45981</v>
      </c>
      <c r="H5" s="2" t="str">
        <f t="shared" si="0"/>
        <v>Paid</v>
      </c>
      <c r="I5" s="13">
        <f t="shared" si="1"/>
        <v>0</v>
      </c>
    </row>
    <row r="6" spans="1:9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  <c r="G6" s="5">
        <v>45981</v>
      </c>
      <c r="H6" s="2" t="str">
        <f t="shared" si="0"/>
        <v>Overdue</v>
      </c>
      <c r="I6" s="13">
        <f t="shared" si="1"/>
        <v>15</v>
      </c>
    </row>
    <row r="7" spans="1:9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  <c r="G7" s="5">
        <v>45981</v>
      </c>
      <c r="H7" s="2" t="str">
        <f t="shared" si="0"/>
        <v>Unpaid</v>
      </c>
      <c r="I7" s="13">
        <f t="shared" si="1"/>
        <v>0</v>
      </c>
    </row>
    <row r="8" spans="1:9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  <c r="G8" s="5">
        <v>45981</v>
      </c>
      <c r="H8" s="2" t="str">
        <f t="shared" si="0"/>
        <v>Paid</v>
      </c>
      <c r="I8" s="13">
        <f t="shared" si="1"/>
        <v>0</v>
      </c>
    </row>
    <row r="9" spans="1:9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  <c r="G9" s="5">
        <v>45981</v>
      </c>
      <c r="H9" s="2" t="str">
        <f t="shared" si="0"/>
        <v>Unpaid</v>
      </c>
      <c r="I9" s="13">
        <f t="shared" si="1"/>
        <v>0</v>
      </c>
    </row>
    <row r="10" spans="1:9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  <c r="G10" s="5">
        <v>45981</v>
      </c>
      <c r="H10" s="2" t="str">
        <f t="shared" si="0"/>
        <v>Paid</v>
      </c>
      <c r="I10" s="13">
        <f t="shared" si="1"/>
        <v>0</v>
      </c>
    </row>
    <row r="11" spans="1:9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  <c r="G11" s="5">
        <v>45981</v>
      </c>
      <c r="H11" s="2" t="str">
        <f t="shared" si="0"/>
        <v>Unpaid</v>
      </c>
      <c r="I11" s="13">
        <f t="shared" si="1"/>
        <v>0</v>
      </c>
    </row>
    <row r="12" spans="1:9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  <c r="G12" s="5">
        <v>45981</v>
      </c>
      <c r="H12" s="2" t="str">
        <f t="shared" si="0"/>
        <v>Paid</v>
      </c>
      <c r="I12" s="13">
        <f t="shared" si="1"/>
        <v>0</v>
      </c>
    </row>
    <row r="13" spans="1:9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  <c r="G13" s="5">
        <v>45981</v>
      </c>
      <c r="H13" s="2" t="str">
        <f t="shared" si="0"/>
        <v>Unpaid</v>
      </c>
      <c r="I13" s="13">
        <f t="shared" si="1"/>
        <v>0</v>
      </c>
    </row>
    <row r="14" spans="1:9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  <c r="G14" s="5">
        <v>45981</v>
      </c>
      <c r="H14" s="2" t="str">
        <f t="shared" si="0"/>
        <v>Paid</v>
      </c>
      <c r="I14" s="13">
        <f t="shared" si="1"/>
        <v>0</v>
      </c>
    </row>
    <row r="15" spans="1:9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  <c r="G15" s="5">
        <v>45981</v>
      </c>
      <c r="H15" s="2" t="str">
        <f t="shared" si="0"/>
        <v>Unpaid</v>
      </c>
      <c r="I15" s="13">
        <f t="shared" si="1"/>
        <v>0</v>
      </c>
    </row>
    <row r="16" spans="1:9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  <c r="G16" s="5">
        <v>45981</v>
      </c>
      <c r="H16" s="2" t="str">
        <f t="shared" si="0"/>
        <v>Unpaid</v>
      </c>
      <c r="I16" s="13">
        <f t="shared" si="1"/>
        <v>0</v>
      </c>
    </row>
    <row r="17" spans="1:9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  <c r="G17" s="5">
        <v>45981</v>
      </c>
      <c r="H17" s="2" t="str">
        <f t="shared" si="0"/>
        <v>Paid</v>
      </c>
      <c r="I17" s="13">
        <f t="shared" si="1"/>
        <v>0</v>
      </c>
    </row>
    <row r="18" spans="1:9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  <c r="G18" s="5">
        <v>45981</v>
      </c>
      <c r="H18" s="2" t="str">
        <f t="shared" si="0"/>
        <v>Unpaid</v>
      </c>
      <c r="I18" s="13">
        <f t="shared" si="1"/>
        <v>0</v>
      </c>
    </row>
    <row r="19" spans="1:9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  <c r="G19" s="5">
        <v>45981</v>
      </c>
      <c r="H19" s="2" t="str">
        <f t="shared" si="0"/>
        <v>Unpaid</v>
      </c>
      <c r="I19" s="13">
        <f t="shared" si="1"/>
        <v>0</v>
      </c>
    </row>
    <row r="20" spans="1:9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  <c r="G20" s="5">
        <v>45981</v>
      </c>
      <c r="H20" s="2" t="str">
        <f t="shared" si="0"/>
        <v>Paid</v>
      </c>
      <c r="I20" s="13">
        <f t="shared" si="1"/>
        <v>0</v>
      </c>
    </row>
    <row r="21" spans="1:9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  <c r="G21" s="5">
        <v>45981</v>
      </c>
      <c r="H21" s="2" t="str">
        <f t="shared" si="0"/>
        <v>Paid</v>
      </c>
      <c r="I21" s="13">
        <f t="shared" si="1"/>
        <v>0</v>
      </c>
    </row>
    <row r="22" spans="1:9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  <c r="G22" s="5">
        <v>45981</v>
      </c>
      <c r="H22" s="2" t="str">
        <f t="shared" si="0"/>
        <v>Unpaid</v>
      </c>
      <c r="I22" s="13">
        <f t="shared" si="1"/>
        <v>0</v>
      </c>
    </row>
    <row r="23" spans="1:9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  <c r="G23" s="5">
        <v>45981</v>
      </c>
      <c r="H23" s="2" t="str">
        <f t="shared" si="0"/>
        <v>Paid</v>
      </c>
      <c r="I23" s="13">
        <f t="shared" si="1"/>
        <v>0</v>
      </c>
    </row>
    <row r="24" spans="1:9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  <c r="G24" s="5">
        <v>45981</v>
      </c>
      <c r="H24" s="2" t="str">
        <f t="shared" si="0"/>
        <v>Unpaid</v>
      </c>
      <c r="I24" s="13">
        <f t="shared" si="1"/>
        <v>0</v>
      </c>
    </row>
    <row r="25" spans="1:9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  <c r="G25" s="5">
        <v>45981</v>
      </c>
      <c r="H25" s="2" t="str">
        <f t="shared" si="0"/>
        <v>Paid</v>
      </c>
      <c r="I25" s="13">
        <f t="shared" si="1"/>
        <v>0</v>
      </c>
    </row>
    <row r="26" spans="1:9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  <c r="G26" s="5">
        <v>45981</v>
      </c>
      <c r="H26" s="2" t="str">
        <f t="shared" si="0"/>
        <v>Unpaid</v>
      </c>
      <c r="I26" s="13">
        <f t="shared" si="1"/>
        <v>0</v>
      </c>
    </row>
    <row r="27" spans="1:9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  <c r="G27" s="5">
        <v>45981</v>
      </c>
      <c r="H27" s="2" t="str">
        <f t="shared" si="0"/>
        <v>Paid</v>
      </c>
      <c r="I27" s="13">
        <f t="shared" si="1"/>
        <v>0</v>
      </c>
    </row>
    <row r="28" spans="1:9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  <c r="G28" s="5">
        <v>45981</v>
      </c>
      <c r="H28" s="2" t="str">
        <f t="shared" si="0"/>
        <v>Paid</v>
      </c>
      <c r="I28" s="13">
        <f t="shared" si="1"/>
        <v>0</v>
      </c>
    </row>
    <row r="29" spans="1:9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  <c r="G29" s="5">
        <v>45981</v>
      </c>
      <c r="H29" s="2" t="str">
        <f t="shared" si="0"/>
        <v>Unpaid</v>
      </c>
      <c r="I29" s="13">
        <f t="shared" si="1"/>
        <v>0</v>
      </c>
    </row>
    <row r="30" spans="1:9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  <c r="G30" s="5">
        <v>45981</v>
      </c>
      <c r="H30" s="2" t="str">
        <f t="shared" si="0"/>
        <v>Paid</v>
      </c>
      <c r="I30" s="13">
        <f t="shared" si="1"/>
        <v>0</v>
      </c>
    </row>
    <row r="31" spans="1:9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  <c r="G31" s="5">
        <v>45981</v>
      </c>
      <c r="H31" s="2" t="str">
        <f t="shared" si="0"/>
        <v>Paid</v>
      </c>
      <c r="I31" s="13">
        <f t="shared" si="1"/>
        <v>0</v>
      </c>
    </row>
    <row r="32" spans="1:9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  <c r="G32" s="5">
        <v>45981</v>
      </c>
      <c r="H32" s="2" t="str">
        <f t="shared" si="0"/>
        <v>Unpaid</v>
      </c>
      <c r="I32" s="13">
        <f t="shared" si="1"/>
        <v>0</v>
      </c>
    </row>
    <row r="33" spans="1:9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  <c r="G33" s="5">
        <v>45981</v>
      </c>
      <c r="H33" s="2" t="str">
        <f t="shared" si="0"/>
        <v>Unpaid</v>
      </c>
      <c r="I33" s="13">
        <f t="shared" si="1"/>
        <v>0</v>
      </c>
    </row>
    <row r="34" spans="1:9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  <c r="G34" s="5">
        <v>45981</v>
      </c>
      <c r="H34" s="2" t="str">
        <f t="shared" si="0"/>
        <v>Paid</v>
      </c>
      <c r="I34" s="13">
        <f t="shared" si="1"/>
        <v>0</v>
      </c>
    </row>
    <row r="35" spans="1:9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  <c r="G35" s="5">
        <v>45981</v>
      </c>
      <c r="H35" s="2" t="str">
        <f t="shared" si="0"/>
        <v>Paid</v>
      </c>
      <c r="I35" s="13">
        <f t="shared" si="1"/>
        <v>0</v>
      </c>
    </row>
    <row r="36" spans="1:9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  <c r="G36" s="5">
        <v>45981</v>
      </c>
      <c r="H36" s="2" t="str">
        <f t="shared" si="0"/>
        <v>Paid</v>
      </c>
      <c r="I36" s="13">
        <f t="shared" si="1"/>
        <v>0</v>
      </c>
    </row>
    <row r="37" spans="1:9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  <c r="G37" s="5">
        <v>45981</v>
      </c>
      <c r="H37" s="2" t="str">
        <f t="shared" si="0"/>
        <v>Paid</v>
      </c>
      <c r="I37" s="13">
        <f t="shared" si="1"/>
        <v>0</v>
      </c>
    </row>
    <row r="38" spans="1:9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  <c r="G38" s="5">
        <v>45981</v>
      </c>
      <c r="H38" s="2" t="str">
        <f t="shared" si="0"/>
        <v>Paid</v>
      </c>
      <c r="I38" s="13">
        <f t="shared" si="1"/>
        <v>0</v>
      </c>
    </row>
    <row r="39" spans="1:9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  <c r="G39" s="5">
        <v>45981</v>
      </c>
      <c r="H39" s="2" t="str">
        <f t="shared" si="0"/>
        <v>Unpaid</v>
      </c>
      <c r="I39" s="13">
        <f t="shared" si="1"/>
        <v>0</v>
      </c>
    </row>
    <row r="40" spans="1:9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  <c r="G40" s="5">
        <v>45981</v>
      </c>
      <c r="H40" s="2" t="str">
        <f t="shared" si="0"/>
        <v>Paid</v>
      </c>
      <c r="I40" s="13">
        <f t="shared" si="1"/>
        <v>0</v>
      </c>
    </row>
    <row r="41" spans="1:9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  <c r="G41" s="5">
        <v>45981</v>
      </c>
      <c r="H41" s="2" t="str">
        <f t="shared" si="0"/>
        <v>Unpaid</v>
      </c>
      <c r="I41" s="13">
        <f t="shared" si="1"/>
        <v>0</v>
      </c>
    </row>
    <row r="42" spans="1:9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  <c r="G42" s="5">
        <v>45981</v>
      </c>
      <c r="H42" s="2" t="str">
        <f t="shared" si="0"/>
        <v>Paid</v>
      </c>
      <c r="I42" s="13">
        <f t="shared" si="1"/>
        <v>0</v>
      </c>
    </row>
    <row r="43" spans="1:9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  <c r="G43" s="5">
        <v>45981</v>
      </c>
      <c r="H43" s="2" t="str">
        <f t="shared" si="0"/>
        <v>Paid</v>
      </c>
      <c r="I43" s="13">
        <f t="shared" si="1"/>
        <v>0</v>
      </c>
    </row>
    <row r="44" spans="1:9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  <c r="G44" s="5">
        <v>45981</v>
      </c>
      <c r="H44" s="2" t="str">
        <f t="shared" si="0"/>
        <v>Paid</v>
      </c>
      <c r="I44" s="13">
        <f t="shared" si="1"/>
        <v>0</v>
      </c>
    </row>
    <row r="45" spans="1:9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  <c r="G45" s="5">
        <v>45981</v>
      </c>
      <c r="H45" s="2" t="str">
        <f t="shared" si="0"/>
        <v>Unpaid</v>
      </c>
      <c r="I45" s="13">
        <f t="shared" si="1"/>
        <v>0</v>
      </c>
    </row>
    <row r="46" spans="1:9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  <c r="G46" s="5">
        <v>45981</v>
      </c>
      <c r="H46" s="2" t="str">
        <f t="shared" si="0"/>
        <v>Unpaid</v>
      </c>
      <c r="I46" s="13">
        <f t="shared" si="1"/>
        <v>0</v>
      </c>
    </row>
    <row r="47" spans="1:9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  <c r="G47" s="5">
        <v>45981</v>
      </c>
      <c r="H47" s="2" t="str">
        <f t="shared" si="0"/>
        <v>Overdue</v>
      </c>
      <c r="I47" s="13">
        <f t="shared" si="1"/>
        <v>1</v>
      </c>
    </row>
    <row r="48" spans="1:9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  <c r="G48" s="5">
        <v>45981</v>
      </c>
      <c r="H48" s="2" t="str">
        <f t="shared" si="0"/>
        <v>Unpaid</v>
      </c>
      <c r="I48" s="13">
        <f t="shared" si="1"/>
        <v>0</v>
      </c>
    </row>
    <row r="49" spans="1:9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  <c r="G49" s="5">
        <v>45981</v>
      </c>
      <c r="H49" s="2" t="str">
        <f t="shared" si="0"/>
        <v>Paid</v>
      </c>
      <c r="I49" s="13">
        <f t="shared" si="1"/>
        <v>0</v>
      </c>
    </row>
    <row r="50" spans="1:9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  <c r="G50" s="5">
        <v>45981</v>
      </c>
      <c r="H50" s="2" t="str">
        <f t="shared" si="0"/>
        <v>Unpaid</v>
      </c>
      <c r="I50" s="13">
        <f t="shared" si="1"/>
        <v>0</v>
      </c>
    </row>
    <row r="51" spans="1:9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  <c r="G51" s="5">
        <v>45981</v>
      </c>
      <c r="H51" s="2" t="str">
        <f t="shared" si="0"/>
        <v>Paid</v>
      </c>
      <c r="I51" s="13">
        <f t="shared" si="1"/>
        <v>0</v>
      </c>
    </row>
    <row r="52" spans="1:9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  <c r="G52" s="5">
        <v>45981</v>
      </c>
      <c r="H52" s="2" t="str">
        <f t="shared" si="0"/>
        <v>Paid</v>
      </c>
      <c r="I52" s="13">
        <f t="shared" si="1"/>
        <v>0</v>
      </c>
    </row>
    <row r="53" spans="1:9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  <c r="G53" s="5">
        <v>45981</v>
      </c>
      <c r="H53" s="2" t="str">
        <f t="shared" si="0"/>
        <v>Paid</v>
      </c>
      <c r="I53" s="13">
        <f t="shared" si="1"/>
        <v>0</v>
      </c>
    </row>
    <row r="54" spans="1:9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  <c r="G54" s="5">
        <v>45981</v>
      </c>
      <c r="H54" s="2" t="str">
        <f t="shared" si="0"/>
        <v>Paid</v>
      </c>
      <c r="I54" s="13">
        <f t="shared" si="1"/>
        <v>0</v>
      </c>
    </row>
    <row r="55" spans="1:9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  <c r="G55" s="5">
        <v>45981</v>
      </c>
      <c r="H55" s="2" t="str">
        <f t="shared" si="0"/>
        <v>Paid</v>
      </c>
      <c r="I55" s="13">
        <f t="shared" si="1"/>
        <v>0</v>
      </c>
    </row>
    <row r="56" spans="1:9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  <c r="G56" s="5">
        <v>45981</v>
      </c>
      <c r="H56" s="2" t="str">
        <f t="shared" si="0"/>
        <v>Paid</v>
      </c>
      <c r="I56" s="13">
        <f t="shared" si="1"/>
        <v>0</v>
      </c>
    </row>
    <row r="57" spans="1:9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  <c r="G57" s="5">
        <v>45981</v>
      </c>
      <c r="H57" s="2" t="str">
        <f t="shared" si="0"/>
        <v>Paid</v>
      </c>
      <c r="I57" s="13">
        <f t="shared" si="1"/>
        <v>0</v>
      </c>
    </row>
    <row r="58" spans="1:9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  <c r="G58" s="5">
        <v>45981</v>
      </c>
      <c r="H58" s="2" t="str">
        <f t="shared" si="0"/>
        <v>Paid</v>
      </c>
      <c r="I58" s="13">
        <f t="shared" si="1"/>
        <v>0</v>
      </c>
    </row>
    <row r="59" spans="1:9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  <c r="G59" s="5">
        <v>45981</v>
      </c>
      <c r="H59" s="2" t="str">
        <f t="shared" si="0"/>
        <v>Paid</v>
      </c>
      <c r="I59" s="13">
        <f t="shared" si="1"/>
        <v>0</v>
      </c>
    </row>
    <row r="60" spans="1:9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  <c r="G60" s="5">
        <v>45981</v>
      </c>
      <c r="H60" s="2" t="str">
        <f t="shared" si="0"/>
        <v>Paid</v>
      </c>
      <c r="I60" s="13">
        <f t="shared" si="1"/>
        <v>0</v>
      </c>
    </row>
    <row r="61" spans="1:9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  <c r="G61" s="5">
        <v>45981</v>
      </c>
      <c r="H61" s="2" t="str">
        <f t="shared" si="0"/>
        <v>Overdue</v>
      </c>
      <c r="I61" s="13">
        <f t="shared" si="1"/>
        <v>12</v>
      </c>
    </row>
    <row r="62" spans="1:9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  <c r="G62" s="5">
        <v>45981</v>
      </c>
      <c r="H62" s="2" t="str">
        <f t="shared" si="0"/>
        <v>Paid</v>
      </c>
      <c r="I62" s="13">
        <f t="shared" si="1"/>
        <v>0</v>
      </c>
    </row>
    <row r="63" spans="1:9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  <c r="G63" s="5">
        <v>45981</v>
      </c>
      <c r="H63" s="2" t="str">
        <f t="shared" si="0"/>
        <v>Paid</v>
      </c>
      <c r="I63" s="13">
        <f t="shared" si="1"/>
        <v>0</v>
      </c>
    </row>
    <row r="64" spans="1:9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  <c r="G64" s="5">
        <v>45981</v>
      </c>
      <c r="H64" s="2" t="str">
        <f t="shared" si="0"/>
        <v>Paid</v>
      </c>
      <c r="I64" s="13">
        <f t="shared" si="1"/>
        <v>0</v>
      </c>
    </row>
    <row r="65" spans="1:9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  <c r="G65" s="5">
        <v>45981</v>
      </c>
      <c r="H65" s="2" t="str">
        <f t="shared" si="0"/>
        <v>Paid</v>
      </c>
      <c r="I65" s="13">
        <f t="shared" si="1"/>
        <v>0</v>
      </c>
    </row>
    <row r="66" spans="1:9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  <c r="G66" s="5">
        <v>45981</v>
      </c>
      <c r="H66" s="2" t="str">
        <f t="shared" si="0"/>
        <v>Paid</v>
      </c>
      <c r="I66" s="13">
        <f t="shared" si="1"/>
        <v>0</v>
      </c>
    </row>
    <row r="67" spans="1:9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  <c r="G67" s="5">
        <v>45981</v>
      </c>
      <c r="H67" s="2" t="str">
        <f t="shared" ref="H67:H130" si="2">IF(F67&lt;&gt;"","Paid",IF(E67&lt;$G$2,"Overdue","Unpaid"))</f>
        <v>Paid</v>
      </c>
      <c r="I67" s="13">
        <f t="shared" ref="I67:I130" si="3">IF(H67="Overdue", G67-E67, 0)</f>
        <v>0</v>
      </c>
    </row>
    <row r="68" spans="1:9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  <c r="G68" s="5">
        <v>45981</v>
      </c>
      <c r="H68" s="2" t="str">
        <f t="shared" si="2"/>
        <v>Paid</v>
      </c>
      <c r="I68" s="13">
        <f t="shared" si="3"/>
        <v>0</v>
      </c>
    </row>
    <row r="69" spans="1:9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  <c r="G69" s="5">
        <v>45981</v>
      </c>
      <c r="H69" s="2" t="str">
        <f t="shared" si="2"/>
        <v>Paid</v>
      </c>
      <c r="I69" s="13">
        <f t="shared" si="3"/>
        <v>0</v>
      </c>
    </row>
    <row r="70" spans="1:9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  <c r="G70" s="5">
        <v>45981</v>
      </c>
      <c r="H70" s="2" t="str">
        <f t="shared" si="2"/>
        <v>Paid</v>
      </c>
      <c r="I70" s="13">
        <f t="shared" si="3"/>
        <v>0</v>
      </c>
    </row>
    <row r="71" spans="1:9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  <c r="G71" s="5">
        <v>45981</v>
      </c>
      <c r="H71" s="2" t="str">
        <f t="shared" si="2"/>
        <v>Paid</v>
      </c>
      <c r="I71" s="13">
        <f t="shared" si="3"/>
        <v>0</v>
      </c>
    </row>
    <row r="72" spans="1:9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  <c r="G72" s="5">
        <v>45981</v>
      </c>
      <c r="H72" s="2" t="str">
        <f t="shared" si="2"/>
        <v>Paid</v>
      </c>
      <c r="I72" s="13">
        <f t="shared" si="3"/>
        <v>0</v>
      </c>
    </row>
    <row r="73" spans="1:9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  <c r="G73" s="5">
        <v>45981</v>
      </c>
      <c r="H73" s="2" t="str">
        <f t="shared" si="2"/>
        <v>Paid</v>
      </c>
      <c r="I73" s="13">
        <f t="shared" si="3"/>
        <v>0</v>
      </c>
    </row>
    <row r="74" spans="1:9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  <c r="G74" s="5">
        <v>45981</v>
      </c>
      <c r="H74" s="2" t="str">
        <f t="shared" si="2"/>
        <v>Paid</v>
      </c>
      <c r="I74" s="13">
        <f t="shared" si="3"/>
        <v>0</v>
      </c>
    </row>
    <row r="75" spans="1:9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  <c r="G75" s="5">
        <v>45981</v>
      </c>
      <c r="H75" s="2" t="str">
        <f t="shared" si="2"/>
        <v>Paid</v>
      </c>
      <c r="I75" s="13">
        <f t="shared" si="3"/>
        <v>0</v>
      </c>
    </row>
    <row r="76" spans="1:9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  <c r="G76" s="5">
        <v>45981</v>
      </c>
      <c r="H76" s="2" t="str">
        <f t="shared" si="2"/>
        <v>Paid</v>
      </c>
      <c r="I76" s="13">
        <f t="shared" si="3"/>
        <v>0</v>
      </c>
    </row>
    <row r="77" spans="1:9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  <c r="G77" s="5">
        <v>45981</v>
      </c>
      <c r="H77" s="2" t="str">
        <f t="shared" si="2"/>
        <v>Paid</v>
      </c>
      <c r="I77" s="13">
        <f t="shared" si="3"/>
        <v>0</v>
      </c>
    </row>
    <row r="78" spans="1:9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  <c r="G78" s="5">
        <v>45981</v>
      </c>
      <c r="H78" s="2" t="str">
        <f t="shared" si="2"/>
        <v>Paid</v>
      </c>
      <c r="I78" s="13">
        <f t="shared" si="3"/>
        <v>0</v>
      </c>
    </row>
    <row r="79" spans="1:9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  <c r="G79" s="5">
        <v>45981</v>
      </c>
      <c r="H79" s="2" t="str">
        <f t="shared" si="2"/>
        <v>Unpaid</v>
      </c>
      <c r="I79" s="13">
        <f t="shared" si="3"/>
        <v>0</v>
      </c>
    </row>
    <row r="80" spans="1:9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  <c r="G80" s="5">
        <v>45981</v>
      </c>
      <c r="H80" s="2" t="str">
        <f t="shared" si="2"/>
        <v>Paid</v>
      </c>
      <c r="I80" s="13">
        <f t="shared" si="3"/>
        <v>0</v>
      </c>
    </row>
    <row r="81" spans="1:9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  <c r="G81" s="5">
        <v>45981</v>
      </c>
      <c r="H81" s="2" t="str">
        <f t="shared" si="2"/>
        <v>Paid</v>
      </c>
      <c r="I81" s="13">
        <f t="shared" si="3"/>
        <v>0</v>
      </c>
    </row>
    <row r="82" spans="1:9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  <c r="G82" s="5">
        <v>45981</v>
      </c>
      <c r="H82" s="2" t="str">
        <f t="shared" si="2"/>
        <v>Paid</v>
      </c>
      <c r="I82" s="13">
        <f t="shared" si="3"/>
        <v>0</v>
      </c>
    </row>
    <row r="83" spans="1:9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  <c r="G83" s="5">
        <v>45981</v>
      </c>
      <c r="H83" s="2" t="str">
        <f t="shared" si="2"/>
        <v>Paid</v>
      </c>
      <c r="I83" s="13">
        <f t="shared" si="3"/>
        <v>0</v>
      </c>
    </row>
    <row r="84" spans="1:9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  <c r="G84" s="5">
        <v>45981</v>
      </c>
      <c r="H84" s="2" t="str">
        <f t="shared" si="2"/>
        <v>Paid</v>
      </c>
      <c r="I84" s="13">
        <f t="shared" si="3"/>
        <v>0</v>
      </c>
    </row>
    <row r="85" spans="1:9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  <c r="G85" s="5">
        <v>45981</v>
      </c>
      <c r="H85" s="2" t="str">
        <f t="shared" si="2"/>
        <v>Paid</v>
      </c>
      <c r="I85" s="13">
        <f t="shared" si="3"/>
        <v>0</v>
      </c>
    </row>
    <row r="86" spans="1:9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  <c r="G86" s="5">
        <v>45981</v>
      </c>
      <c r="H86" s="2" t="str">
        <f t="shared" si="2"/>
        <v>Paid</v>
      </c>
      <c r="I86" s="13">
        <f t="shared" si="3"/>
        <v>0</v>
      </c>
    </row>
    <row r="87" spans="1:9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  <c r="G87" s="5">
        <v>45981</v>
      </c>
      <c r="H87" s="2" t="str">
        <f t="shared" si="2"/>
        <v>Paid</v>
      </c>
      <c r="I87" s="13">
        <f t="shared" si="3"/>
        <v>0</v>
      </c>
    </row>
    <row r="88" spans="1:9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  <c r="G88" s="5">
        <v>45981</v>
      </c>
      <c r="H88" s="2" t="str">
        <f t="shared" si="2"/>
        <v>Paid</v>
      </c>
      <c r="I88" s="13">
        <f t="shared" si="3"/>
        <v>0</v>
      </c>
    </row>
    <row r="89" spans="1:9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  <c r="G89" s="5">
        <v>45981</v>
      </c>
      <c r="H89" s="2" t="str">
        <f t="shared" si="2"/>
        <v>Paid</v>
      </c>
      <c r="I89" s="13">
        <f t="shared" si="3"/>
        <v>0</v>
      </c>
    </row>
    <row r="90" spans="1:9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  <c r="G90" s="5">
        <v>45981</v>
      </c>
      <c r="H90" s="2" t="str">
        <f t="shared" si="2"/>
        <v>Paid</v>
      </c>
      <c r="I90" s="13">
        <f t="shared" si="3"/>
        <v>0</v>
      </c>
    </row>
    <row r="91" spans="1:9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  <c r="G91" s="5">
        <v>45981</v>
      </c>
      <c r="H91" s="2" t="str">
        <f t="shared" si="2"/>
        <v>Paid</v>
      </c>
      <c r="I91" s="13">
        <f t="shared" si="3"/>
        <v>0</v>
      </c>
    </row>
    <row r="92" spans="1:9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  <c r="G92" s="5">
        <v>45981</v>
      </c>
      <c r="H92" s="2" t="str">
        <f t="shared" si="2"/>
        <v>Paid</v>
      </c>
      <c r="I92" s="13">
        <f t="shared" si="3"/>
        <v>0</v>
      </c>
    </row>
    <row r="93" spans="1:9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  <c r="G93" s="5">
        <v>45981</v>
      </c>
      <c r="H93" s="2" t="str">
        <f t="shared" si="2"/>
        <v>Paid</v>
      </c>
      <c r="I93" s="13">
        <f t="shared" si="3"/>
        <v>0</v>
      </c>
    </row>
    <row r="94" spans="1:9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  <c r="G94" s="5">
        <v>45981</v>
      </c>
      <c r="H94" s="2" t="str">
        <f t="shared" si="2"/>
        <v>Paid</v>
      </c>
      <c r="I94" s="13">
        <f t="shared" si="3"/>
        <v>0</v>
      </c>
    </row>
    <row r="95" spans="1:9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  <c r="G95" s="5">
        <v>45981</v>
      </c>
      <c r="H95" s="2" t="str">
        <f t="shared" si="2"/>
        <v>Paid</v>
      </c>
      <c r="I95" s="13">
        <f t="shared" si="3"/>
        <v>0</v>
      </c>
    </row>
    <row r="96" spans="1:9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  <c r="G96" s="5">
        <v>45981</v>
      </c>
      <c r="H96" s="2" t="str">
        <f t="shared" si="2"/>
        <v>Paid</v>
      </c>
      <c r="I96" s="13">
        <f t="shared" si="3"/>
        <v>0</v>
      </c>
    </row>
    <row r="97" spans="1:9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  <c r="G97" s="5">
        <v>45981</v>
      </c>
      <c r="H97" s="2" t="str">
        <f t="shared" si="2"/>
        <v>Paid</v>
      </c>
      <c r="I97" s="13">
        <f t="shared" si="3"/>
        <v>0</v>
      </c>
    </row>
    <row r="98" spans="1:9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  <c r="G98" s="5">
        <v>45981</v>
      </c>
      <c r="H98" s="2" t="str">
        <f t="shared" si="2"/>
        <v>Paid</v>
      </c>
      <c r="I98" s="13">
        <f t="shared" si="3"/>
        <v>0</v>
      </c>
    </row>
    <row r="99" spans="1:9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  <c r="G99" s="5">
        <v>45981</v>
      </c>
      <c r="H99" s="2" t="str">
        <f t="shared" si="2"/>
        <v>Paid</v>
      </c>
      <c r="I99" s="13">
        <f t="shared" si="3"/>
        <v>0</v>
      </c>
    </row>
    <row r="100" spans="1:9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  <c r="G100" s="5">
        <v>45981</v>
      </c>
      <c r="H100" s="2" t="str">
        <f t="shared" si="2"/>
        <v>Paid</v>
      </c>
      <c r="I100" s="13">
        <f t="shared" si="3"/>
        <v>0</v>
      </c>
    </row>
    <row r="101" spans="1:9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  <c r="G101" s="5">
        <v>45981</v>
      </c>
      <c r="H101" s="2" t="str">
        <f t="shared" si="2"/>
        <v>Paid</v>
      </c>
      <c r="I101" s="13">
        <f t="shared" si="3"/>
        <v>0</v>
      </c>
    </row>
    <row r="102" spans="1:9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  <c r="G102" s="5">
        <v>45981</v>
      </c>
      <c r="H102" s="2" t="str">
        <f t="shared" si="2"/>
        <v>Paid</v>
      </c>
      <c r="I102" s="13">
        <f t="shared" si="3"/>
        <v>0</v>
      </c>
    </row>
    <row r="103" spans="1:9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  <c r="G103" s="5">
        <v>45981</v>
      </c>
      <c r="H103" s="2" t="str">
        <f t="shared" si="2"/>
        <v>Paid</v>
      </c>
      <c r="I103" s="13">
        <f t="shared" si="3"/>
        <v>0</v>
      </c>
    </row>
    <row r="104" spans="1:9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  <c r="G104" s="5">
        <v>45981</v>
      </c>
      <c r="H104" s="2" t="str">
        <f t="shared" si="2"/>
        <v>Unpaid</v>
      </c>
      <c r="I104" s="13">
        <f t="shared" si="3"/>
        <v>0</v>
      </c>
    </row>
    <row r="105" spans="1:9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  <c r="G105" s="5">
        <v>45981</v>
      </c>
      <c r="H105" s="2" t="str">
        <f t="shared" si="2"/>
        <v>Paid</v>
      </c>
      <c r="I105" s="13">
        <f t="shared" si="3"/>
        <v>0</v>
      </c>
    </row>
    <row r="106" spans="1:9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  <c r="G106" s="5">
        <v>45981</v>
      </c>
      <c r="H106" s="2" t="str">
        <f t="shared" si="2"/>
        <v>Unpaid</v>
      </c>
      <c r="I106" s="13">
        <f t="shared" si="3"/>
        <v>0</v>
      </c>
    </row>
    <row r="107" spans="1:9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  <c r="G107" s="5">
        <v>45981</v>
      </c>
      <c r="H107" s="2" t="str">
        <f t="shared" si="2"/>
        <v>Paid</v>
      </c>
      <c r="I107" s="13">
        <f t="shared" si="3"/>
        <v>0</v>
      </c>
    </row>
    <row r="108" spans="1:9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  <c r="G108" s="5">
        <v>45981</v>
      </c>
      <c r="H108" s="2" t="str">
        <f t="shared" si="2"/>
        <v>Unpaid</v>
      </c>
      <c r="I108" s="13">
        <f t="shared" si="3"/>
        <v>0</v>
      </c>
    </row>
    <row r="109" spans="1:9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  <c r="G109" s="5">
        <v>45981</v>
      </c>
      <c r="H109" s="2" t="str">
        <f t="shared" si="2"/>
        <v>Paid</v>
      </c>
      <c r="I109" s="13">
        <f t="shared" si="3"/>
        <v>0</v>
      </c>
    </row>
    <row r="110" spans="1:9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  <c r="G110" s="5">
        <v>45981</v>
      </c>
      <c r="H110" s="2" t="str">
        <f t="shared" si="2"/>
        <v>Paid</v>
      </c>
      <c r="I110" s="13">
        <f t="shared" si="3"/>
        <v>0</v>
      </c>
    </row>
    <row r="111" spans="1:9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  <c r="G111" s="5">
        <v>45981</v>
      </c>
      <c r="H111" s="2" t="str">
        <f t="shared" si="2"/>
        <v>Paid</v>
      </c>
      <c r="I111" s="13">
        <f t="shared" si="3"/>
        <v>0</v>
      </c>
    </row>
    <row r="112" spans="1:9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  <c r="G112" s="5">
        <v>45981</v>
      </c>
      <c r="H112" s="2" t="str">
        <f t="shared" si="2"/>
        <v>Paid</v>
      </c>
      <c r="I112" s="13">
        <f t="shared" si="3"/>
        <v>0</v>
      </c>
    </row>
    <row r="113" spans="1:9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  <c r="G113" s="5">
        <v>45981</v>
      </c>
      <c r="H113" s="2" t="str">
        <f t="shared" si="2"/>
        <v>Overdue</v>
      </c>
      <c r="I113" s="13">
        <f t="shared" si="3"/>
        <v>77</v>
      </c>
    </row>
    <row r="114" spans="1:9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  <c r="G114" s="5">
        <v>45981</v>
      </c>
      <c r="H114" s="2" t="str">
        <f t="shared" si="2"/>
        <v>Unpaid</v>
      </c>
      <c r="I114" s="13">
        <f t="shared" si="3"/>
        <v>0</v>
      </c>
    </row>
    <row r="115" spans="1:9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  <c r="G115" s="5">
        <v>45981</v>
      </c>
      <c r="H115" s="2" t="str">
        <f t="shared" si="2"/>
        <v>Paid</v>
      </c>
      <c r="I115" s="13">
        <f t="shared" si="3"/>
        <v>0</v>
      </c>
    </row>
    <row r="116" spans="1:9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  <c r="G116" s="5">
        <v>45981</v>
      </c>
      <c r="H116" s="2" t="str">
        <f t="shared" si="2"/>
        <v>Paid</v>
      </c>
      <c r="I116" s="13">
        <f t="shared" si="3"/>
        <v>0</v>
      </c>
    </row>
    <row r="117" spans="1:9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  <c r="G117" s="5">
        <v>45981</v>
      </c>
      <c r="H117" s="2" t="str">
        <f t="shared" si="2"/>
        <v>Paid</v>
      </c>
      <c r="I117" s="13">
        <f t="shared" si="3"/>
        <v>0</v>
      </c>
    </row>
    <row r="118" spans="1:9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  <c r="G118" s="5">
        <v>45981</v>
      </c>
      <c r="H118" s="2" t="str">
        <f t="shared" si="2"/>
        <v>Unpaid</v>
      </c>
      <c r="I118" s="13">
        <f t="shared" si="3"/>
        <v>0</v>
      </c>
    </row>
    <row r="119" spans="1:9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  <c r="G119" s="5">
        <v>45981</v>
      </c>
      <c r="H119" s="2" t="str">
        <f t="shared" si="2"/>
        <v>Paid</v>
      </c>
      <c r="I119" s="13">
        <f t="shared" si="3"/>
        <v>0</v>
      </c>
    </row>
    <row r="120" spans="1:9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  <c r="G120" s="5">
        <v>45981</v>
      </c>
      <c r="H120" s="2" t="str">
        <f t="shared" si="2"/>
        <v>Paid</v>
      </c>
      <c r="I120" s="13">
        <f t="shared" si="3"/>
        <v>0</v>
      </c>
    </row>
    <row r="121" spans="1:9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  <c r="G121" s="5">
        <v>45981</v>
      </c>
      <c r="H121" s="2" t="str">
        <f t="shared" si="2"/>
        <v>Paid</v>
      </c>
      <c r="I121" s="13">
        <f t="shared" si="3"/>
        <v>0</v>
      </c>
    </row>
    <row r="122" spans="1:9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  <c r="G122" s="5">
        <v>45981</v>
      </c>
      <c r="H122" s="2" t="str">
        <f t="shared" si="2"/>
        <v>Paid</v>
      </c>
      <c r="I122" s="13">
        <f t="shared" si="3"/>
        <v>0</v>
      </c>
    </row>
    <row r="123" spans="1:9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  <c r="G123" s="5">
        <v>45981</v>
      </c>
      <c r="H123" s="2" t="str">
        <f t="shared" si="2"/>
        <v>Unpaid</v>
      </c>
      <c r="I123" s="13">
        <f t="shared" si="3"/>
        <v>0</v>
      </c>
    </row>
    <row r="124" spans="1:9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  <c r="G124" s="5">
        <v>45981</v>
      </c>
      <c r="H124" s="2" t="str">
        <f t="shared" si="2"/>
        <v>Paid</v>
      </c>
      <c r="I124" s="13">
        <f t="shared" si="3"/>
        <v>0</v>
      </c>
    </row>
    <row r="125" spans="1:9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  <c r="G125" s="5">
        <v>45981</v>
      </c>
      <c r="H125" s="2" t="str">
        <f t="shared" si="2"/>
        <v>Paid</v>
      </c>
      <c r="I125" s="13">
        <f t="shared" si="3"/>
        <v>0</v>
      </c>
    </row>
    <row r="126" spans="1:9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  <c r="G126" s="5">
        <v>45981</v>
      </c>
      <c r="H126" s="2" t="str">
        <f t="shared" si="2"/>
        <v>Unpaid</v>
      </c>
      <c r="I126" s="13">
        <f t="shared" si="3"/>
        <v>0</v>
      </c>
    </row>
    <row r="127" spans="1:9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  <c r="G127" s="5">
        <v>45981</v>
      </c>
      <c r="H127" s="2" t="str">
        <f t="shared" si="2"/>
        <v>Paid</v>
      </c>
      <c r="I127" s="13">
        <f t="shared" si="3"/>
        <v>0</v>
      </c>
    </row>
    <row r="128" spans="1:9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  <c r="G128" s="5">
        <v>45981</v>
      </c>
      <c r="H128" s="2" t="str">
        <f t="shared" si="2"/>
        <v>Paid</v>
      </c>
      <c r="I128" s="13">
        <f t="shared" si="3"/>
        <v>0</v>
      </c>
    </row>
    <row r="129" spans="1:9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  <c r="G129" s="5">
        <v>45981</v>
      </c>
      <c r="H129" s="2" t="str">
        <f t="shared" si="2"/>
        <v>Paid</v>
      </c>
      <c r="I129" s="13">
        <f t="shared" si="3"/>
        <v>0</v>
      </c>
    </row>
    <row r="130" spans="1:9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  <c r="G130" s="5">
        <v>45981</v>
      </c>
      <c r="H130" s="2" t="str">
        <f t="shared" si="2"/>
        <v>Paid</v>
      </c>
      <c r="I130" s="13">
        <f t="shared" si="3"/>
        <v>0</v>
      </c>
    </row>
    <row r="131" spans="1:9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  <c r="G131" s="5">
        <v>45981</v>
      </c>
      <c r="H131" s="2" t="str">
        <f t="shared" ref="H131:H194" si="4">IF(F131&lt;&gt;"","Paid",IF(E131&lt;$G$2,"Overdue","Unpaid"))</f>
        <v>Paid</v>
      </c>
      <c r="I131" s="13">
        <f t="shared" ref="I131:I194" si="5">IF(H131="Overdue", G131-E131, 0)</f>
        <v>0</v>
      </c>
    </row>
    <row r="132" spans="1:9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  <c r="G132" s="5">
        <v>45981</v>
      </c>
      <c r="H132" s="2" t="str">
        <f t="shared" si="4"/>
        <v>Paid</v>
      </c>
      <c r="I132" s="13">
        <f t="shared" si="5"/>
        <v>0</v>
      </c>
    </row>
    <row r="133" spans="1:9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  <c r="G133" s="5">
        <v>45981</v>
      </c>
      <c r="H133" s="2" t="str">
        <f t="shared" si="4"/>
        <v>Paid</v>
      </c>
      <c r="I133" s="13">
        <f t="shared" si="5"/>
        <v>0</v>
      </c>
    </row>
    <row r="134" spans="1:9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  <c r="G134" s="5">
        <v>45981</v>
      </c>
      <c r="H134" s="2" t="str">
        <f t="shared" si="4"/>
        <v>Paid</v>
      </c>
      <c r="I134" s="13">
        <f t="shared" si="5"/>
        <v>0</v>
      </c>
    </row>
    <row r="135" spans="1:9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  <c r="G135" s="5">
        <v>45981</v>
      </c>
      <c r="H135" s="2" t="str">
        <f t="shared" si="4"/>
        <v>Paid</v>
      </c>
      <c r="I135" s="13">
        <f t="shared" si="5"/>
        <v>0</v>
      </c>
    </row>
    <row r="136" spans="1:9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  <c r="G136" s="5">
        <v>45981</v>
      </c>
      <c r="H136" s="2" t="str">
        <f t="shared" si="4"/>
        <v>Paid</v>
      </c>
      <c r="I136" s="13">
        <f t="shared" si="5"/>
        <v>0</v>
      </c>
    </row>
    <row r="137" spans="1:9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  <c r="G137" s="5">
        <v>45981</v>
      </c>
      <c r="H137" s="2" t="str">
        <f t="shared" si="4"/>
        <v>Paid</v>
      </c>
      <c r="I137" s="13">
        <f t="shared" si="5"/>
        <v>0</v>
      </c>
    </row>
    <row r="138" spans="1:9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  <c r="G138" s="5">
        <v>45981</v>
      </c>
      <c r="H138" s="2" t="str">
        <f t="shared" si="4"/>
        <v>Paid</v>
      </c>
      <c r="I138" s="13">
        <f t="shared" si="5"/>
        <v>0</v>
      </c>
    </row>
    <row r="139" spans="1:9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  <c r="G139" s="5">
        <v>45981</v>
      </c>
      <c r="H139" s="2" t="str">
        <f t="shared" si="4"/>
        <v>Paid</v>
      </c>
      <c r="I139" s="13">
        <f t="shared" si="5"/>
        <v>0</v>
      </c>
    </row>
    <row r="140" spans="1:9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  <c r="G140" s="5">
        <v>45981</v>
      </c>
      <c r="H140" s="2" t="str">
        <f t="shared" si="4"/>
        <v>Paid</v>
      </c>
      <c r="I140" s="13">
        <f t="shared" si="5"/>
        <v>0</v>
      </c>
    </row>
    <row r="141" spans="1:9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  <c r="G141" s="5">
        <v>45981</v>
      </c>
      <c r="H141" s="2" t="str">
        <f t="shared" si="4"/>
        <v>Paid</v>
      </c>
      <c r="I141" s="13">
        <f t="shared" si="5"/>
        <v>0</v>
      </c>
    </row>
    <row r="142" spans="1:9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  <c r="G142" s="5">
        <v>45981</v>
      </c>
      <c r="H142" s="2" t="str">
        <f t="shared" si="4"/>
        <v>Paid</v>
      </c>
      <c r="I142" s="13">
        <f t="shared" si="5"/>
        <v>0</v>
      </c>
    </row>
    <row r="143" spans="1:9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  <c r="G143" s="5">
        <v>45981</v>
      </c>
      <c r="H143" s="2" t="str">
        <f t="shared" si="4"/>
        <v>Paid</v>
      </c>
      <c r="I143" s="13">
        <f t="shared" si="5"/>
        <v>0</v>
      </c>
    </row>
    <row r="144" spans="1:9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  <c r="G144" s="5">
        <v>45981</v>
      </c>
      <c r="H144" s="2" t="str">
        <f t="shared" si="4"/>
        <v>Unpaid</v>
      </c>
      <c r="I144" s="13">
        <f t="shared" si="5"/>
        <v>0</v>
      </c>
    </row>
    <row r="145" spans="1:9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  <c r="G145" s="5">
        <v>45981</v>
      </c>
      <c r="H145" s="2" t="str">
        <f t="shared" si="4"/>
        <v>Paid</v>
      </c>
      <c r="I145" s="13">
        <f t="shared" si="5"/>
        <v>0</v>
      </c>
    </row>
    <row r="146" spans="1:9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  <c r="G146" s="5">
        <v>45981</v>
      </c>
      <c r="H146" s="2" t="str">
        <f t="shared" si="4"/>
        <v>Paid</v>
      </c>
      <c r="I146" s="13">
        <f t="shared" si="5"/>
        <v>0</v>
      </c>
    </row>
    <row r="147" spans="1:9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  <c r="G147" s="5">
        <v>45981</v>
      </c>
      <c r="H147" s="2" t="str">
        <f t="shared" si="4"/>
        <v>Paid</v>
      </c>
      <c r="I147" s="13">
        <f t="shared" si="5"/>
        <v>0</v>
      </c>
    </row>
    <row r="148" spans="1:9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  <c r="G148" s="5">
        <v>45981</v>
      </c>
      <c r="H148" s="2" t="str">
        <f t="shared" si="4"/>
        <v>Paid</v>
      </c>
      <c r="I148" s="13">
        <f t="shared" si="5"/>
        <v>0</v>
      </c>
    </row>
    <row r="149" spans="1:9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  <c r="G149" s="5">
        <v>45981</v>
      </c>
      <c r="H149" s="2" t="str">
        <f t="shared" si="4"/>
        <v>Paid</v>
      </c>
      <c r="I149" s="13">
        <f t="shared" si="5"/>
        <v>0</v>
      </c>
    </row>
    <row r="150" spans="1:9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  <c r="G150" s="5">
        <v>45981</v>
      </c>
      <c r="H150" s="2" t="str">
        <f t="shared" si="4"/>
        <v>Paid</v>
      </c>
      <c r="I150" s="13">
        <f t="shared" si="5"/>
        <v>0</v>
      </c>
    </row>
    <row r="151" spans="1:9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  <c r="G151" s="5">
        <v>45981</v>
      </c>
      <c r="H151" s="2" t="str">
        <f t="shared" si="4"/>
        <v>Paid</v>
      </c>
      <c r="I151" s="13">
        <f t="shared" si="5"/>
        <v>0</v>
      </c>
    </row>
    <row r="152" spans="1:9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  <c r="G152" s="5">
        <v>45981</v>
      </c>
      <c r="H152" s="2" t="str">
        <f t="shared" si="4"/>
        <v>Paid</v>
      </c>
      <c r="I152" s="13">
        <f t="shared" si="5"/>
        <v>0</v>
      </c>
    </row>
    <row r="153" spans="1:9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  <c r="G153" s="5">
        <v>45981</v>
      </c>
      <c r="H153" s="2" t="str">
        <f t="shared" si="4"/>
        <v>Paid</v>
      </c>
      <c r="I153" s="13">
        <f t="shared" si="5"/>
        <v>0</v>
      </c>
    </row>
    <row r="154" spans="1:9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  <c r="G154" s="5">
        <v>45981</v>
      </c>
      <c r="H154" s="2" t="str">
        <f t="shared" si="4"/>
        <v>Paid</v>
      </c>
      <c r="I154" s="13">
        <f t="shared" si="5"/>
        <v>0</v>
      </c>
    </row>
    <row r="155" spans="1:9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  <c r="G155" s="5">
        <v>45981</v>
      </c>
      <c r="H155" s="2" t="str">
        <f t="shared" si="4"/>
        <v>Paid</v>
      </c>
      <c r="I155" s="13">
        <f t="shared" si="5"/>
        <v>0</v>
      </c>
    </row>
    <row r="156" spans="1:9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  <c r="G156" s="5">
        <v>45981</v>
      </c>
      <c r="H156" s="2" t="str">
        <f t="shared" si="4"/>
        <v>Overdue</v>
      </c>
      <c r="I156" s="13">
        <f t="shared" si="5"/>
        <v>203</v>
      </c>
    </row>
    <row r="157" spans="1:9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  <c r="G157" s="5">
        <v>45981</v>
      </c>
      <c r="H157" s="2" t="str">
        <f t="shared" si="4"/>
        <v>Overdue</v>
      </c>
      <c r="I157" s="13">
        <f t="shared" si="5"/>
        <v>66</v>
      </c>
    </row>
    <row r="158" spans="1:9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  <c r="G158" s="5">
        <v>45981</v>
      </c>
      <c r="H158" s="2" t="str">
        <f t="shared" si="4"/>
        <v>Paid</v>
      </c>
      <c r="I158" s="13">
        <f t="shared" si="5"/>
        <v>0</v>
      </c>
    </row>
    <row r="159" spans="1:9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  <c r="G159" s="5">
        <v>45981</v>
      </c>
      <c r="H159" s="2" t="str">
        <f t="shared" si="4"/>
        <v>Paid</v>
      </c>
      <c r="I159" s="13">
        <f t="shared" si="5"/>
        <v>0</v>
      </c>
    </row>
    <row r="160" spans="1:9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  <c r="G160" s="5">
        <v>45981</v>
      </c>
      <c r="H160" s="2" t="str">
        <f t="shared" si="4"/>
        <v>Paid</v>
      </c>
      <c r="I160" s="13">
        <f t="shared" si="5"/>
        <v>0</v>
      </c>
    </row>
    <row r="161" spans="1:9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  <c r="G161" s="5">
        <v>45981</v>
      </c>
      <c r="H161" s="2" t="str">
        <f t="shared" si="4"/>
        <v>Unpaid</v>
      </c>
      <c r="I161" s="13">
        <f t="shared" si="5"/>
        <v>0</v>
      </c>
    </row>
    <row r="162" spans="1:9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  <c r="G162" s="5">
        <v>45981</v>
      </c>
      <c r="H162" s="2" t="str">
        <f t="shared" si="4"/>
        <v>Paid</v>
      </c>
      <c r="I162" s="13">
        <f t="shared" si="5"/>
        <v>0</v>
      </c>
    </row>
    <row r="163" spans="1:9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  <c r="G163" s="5">
        <v>45981</v>
      </c>
      <c r="H163" s="2" t="str">
        <f t="shared" si="4"/>
        <v>Unpaid</v>
      </c>
      <c r="I163" s="13">
        <f t="shared" si="5"/>
        <v>0</v>
      </c>
    </row>
    <row r="164" spans="1:9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  <c r="G164" s="5">
        <v>45981</v>
      </c>
      <c r="H164" s="2" t="str">
        <f t="shared" si="4"/>
        <v>Paid</v>
      </c>
      <c r="I164" s="13">
        <f t="shared" si="5"/>
        <v>0</v>
      </c>
    </row>
    <row r="165" spans="1:9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  <c r="G165" s="5">
        <v>45981</v>
      </c>
      <c r="H165" s="2" t="str">
        <f t="shared" si="4"/>
        <v>Unpaid</v>
      </c>
      <c r="I165" s="13">
        <f t="shared" si="5"/>
        <v>0</v>
      </c>
    </row>
    <row r="166" spans="1:9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  <c r="G166" s="5">
        <v>45981</v>
      </c>
      <c r="H166" s="2" t="str">
        <f t="shared" si="4"/>
        <v>Overdue</v>
      </c>
      <c r="I166" s="13">
        <f t="shared" si="5"/>
        <v>135</v>
      </c>
    </row>
    <row r="167" spans="1:9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  <c r="G167" s="5">
        <v>45981</v>
      </c>
      <c r="H167" s="2" t="str">
        <f t="shared" si="4"/>
        <v>Paid</v>
      </c>
      <c r="I167" s="13">
        <f t="shared" si="5"/>
        <v>0</v>
      </c>
    </row>
    <row r="168" spans="1:9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  <c r="G168" s="5">
        <v>45981</v>
      </c>
      <c r="H168" s="2" t="str">
        <f t="shared" si="4"/>
        <v>Unpaid</v>
      </c>
      <c r="I168" s="13">
        <f t="shared" si="5"/>
        <v>0</v>
      </c>
    </row>
    <row r="169" spans="1:9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  <c r="G169" s="5">
        <v>45981</v>
      </c>
      <c r="H169" s="2" t="str">
        <f t="shared" si="4"/>
        <v>Overdue</v>
      </c>
      <c r="I169" s="13">
        <f t="shared" si="5"/>
        <v>167</v>
      </c>
    </row>
    <row r="170" spans="1:9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  <c r="G170" s="5">
        <v>45981</v>
      </c>
      <c r="H170" s="2" t="str">
        <f t="shared" si="4"/>
        <v>Paid</v>
      </c>
      <c r="I170" s="13">
        <f t="shared" si="5"/>
        <v>0</v>
      </c>
    </row>
    <row r="171" spans="1:9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  <c r="G171" s="5">
        <v>45981</v>
      </c>
      <c r="H171" s="2" t="str">
        <f t="shared" si="4"/>
        <v>Paid</v>
      </c>
      <c r="I171" s="13">
        <f t="shared" si="5"/>
        <v>0</v>
      </c>
    </row>
    <row r="172" spans="1:9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  <c r="G172" s="5">
        <v>45981</v>
      </c>
      <c r="H172" s="2" t="str">
        <f t="shared" si="4"/>
        <v>Overdue</v>
      </c>
      <c r="I172" s="13">
        <f t="shared" si="5"/>
        <v>213</v>
      </c>
    </row>
    <row r="173" spans="1:9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  <c r="G173" s="5">
        <v>45981</v>
      </c>
      <c r="H173" s="2" t="str">
        <f t="shared" si="4"/>
        <v>Paid</v>
      </c>
      <c r="I173" s="13">
        <f t="shared" si="5"/>
        <v>0</v>
      </c>
    </row>
    <row r="174" spans="1:9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  <c r="G174" s="5">
        <v>45981</v>
      </c>
      <c r="H174" s="2" t="str">
        <f t="shared" si="4"/>
        <v>Unpaid</v>
      </c>
      <c r="I174" s="13">
        <f t="shared" si="5"/>
        <v>0</v>
      </c>
    </row>
    <row r="175" spans="1:9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  <c r="G175" s="5">
        <v>45981</v>
      </c>
      <c r="H175" s="2" t="str">
        <f t="shared" si="4"/>
        <v>Paid</v>
      </c>
      <c r="I175" s="13">
        <f t="shared" si="5"/>
        <v>0</v>
      </c>
    </row>
    <row r="176" spans="1:9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  <c r="G176" s="5">
        <v>45981</v>
      </c>
      <c r="H176" s="2" t="str">
        <f t="shared" si="4"/>
        <v>Unpaid</v>
      </c>
      <c r="I176" s="13">
        <f t="shared" si="5"/>
        <v>0</v>
      </c>
    </row>
    <row r="177" spans="1:9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  <c r="G177" s="5">
        <v>45981</v>
      </c>
      <c r="H177" s="2" t="str">
        <f t="shared" si="4"/>
        <v>Paid</v>
      </c>
      <c r="I177" s="13">
        <f t="shared" si="5"/>
        <v>0</v>
      </c>
    </row>
    <row r="178" spans="1:9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  <c r="G178" s="5">
        <v>45981</v>
      </c>
      <c r="H178" s="2" t="str">
        <f t="shared" si="4"/>
        <v>Paid</v>
      </c>
      <c r="I178" s="13">
        <f t="shared" si="5"/>
        <v>0</v>
      </c>
    </row>
    <row r="179" spans="1:9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  <c r="G179" s="5">
        <v>45981</v>
      </c>
      <c r="H179" s="2" t="str">
        <f t="shared" si="4"/>
        <v>Overdue</v>
      </c>
      <c r="I179" s="13">
        <f t="shared" si="5"/>
        <v>176</v>
      </c>
    </row>
    <row r="180" spans="1:9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  <c r="G180" s="5">
        <v>45981</v>
      </c>
      <c r="H180" s="2" t="str">
        <f t="shared" si="4"/>
        <v>Paid</v>
      </c>
      <c r="I180" s="13">
        <f t="shared" si="5"/>
        <v>0</v>
      </c>
    </row>
    <row r="181" spans="1:9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  <c r="G181" s="5">
        <v>45981</v>
      </c>
      <c r="H181" s="2" t="str">
        <f t="shared" si="4"/>
        <v>Paid</v>
      </c>
      <c r="I181" s="13">
        <f t="shared" si="5"/>
        <v>0</v>
      </c>
    </row>
    <row r="182" spans="1:9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  <c r="G182" s="5">
        <v>45981</v>
      </c>
      <c r="H182" s="2" t="str">
        <f t="shared" si="4"/>
        <v>Overdue</v>
      </c>
      <c r="I182" s="13">
        <f t="shared" si="5"/>
        <v>230</v>
      </c>
    </row>
    <row r="183" spans="1:9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  <c r="G183" s="5">
        <v>45981</v>
      </c>
      <c r="H183" s="2" t="str">
        <f t="shared" si="4"/>
        <v>Overdue</v>
      </c>
      <c r="I183" s="13">
        <f t="shared" si="5"/>
        <v>157</v>
      </c>
    </row>
    <row r="184" spans="1:9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  <c r="G184" s="5">
        <v>45981</v>
      </c>
      <c r="H184" s="2" t="str">
        <f t="shared" si="4"/>
        <v>Paid</v>
      </c>
      <c r="I184" s="13">
        <f t="shared" si="5"/>
        <v>0</v>
      </c>
    </row>
    <row r="185" spans="1:9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  <c r="G185" s="5">
        <v>45981</v>
      </c>
      <c r="H185" s="2" t="str">
        <f t="shared" si="4"/>
        <v>Paid</v>
      </c>
      <c r="I185" s="13">
        <f t="shared" si="5"/>
        <v>0</v>
      </c>
    </row>
    <row r="186" spans="1:9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  <c r="G186" s="5">
        <v>45981</v>
      </c>
      <c r="H186" s="2" t="str">
        <f t="shared" si="4"/>
        <v>Paid</v>
      </c>
      <c r="I186" s="13">
        <f t="shared" si="5"/>
        <v>0</v>
      </c>
    </row>
    <row r="187" spans="1:9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  <c r="G187" s="5">
        <v>45981</v>
      </c>
      <c r="H187" s="2" t="str">
        <f t="shared" si="4"/>
        <v>Paid</v>
      </c>
      <c r="I187" s="13">
        <f t="shared" si="5"/>
        <v>0</v>
      </c>
    </row>
    <row r="188" spans="1:9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  <c r="G188" s="5">
        <v>45981</v>
      </c>
      <c r="H188" s="2" t="str">
        <f t="shared" si="4"/>
        <v>Paid</v>
      </c>
      <c r="I188" s="13">
        <f t="shared" si="5"/>
        <v>0</v>
      </c>
    </row>
    <row r="189" spans="1:9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  <c r="G189" s="5">
        <v>45981</v>
      </c>
      <c r="H189" s="2" t="str">
        <f t="shared" si="4"/>
        <v>Overdue</v>
      </c>
      <c r="I189" s="13">
        <f t="shared" si="5"/>
        <v>103</v>
      </c>
    </row>
    <row r="190" spans="1:9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  <c r="G190" s="5">
        <v>45981</v>
      </c>
      <c r="H190" s="2" t="str">
        <f t="shared" si="4"/>
        <v>Paid</v>
      </c>
      <c r="I190" s="13">
        <f t="shared" si="5"/>
        <v>0</v>
      </c>
    </row>
    <row r="191" spans="1:9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  <c r="G191" s="5">
        <v>45981</v>
      </c>
      <c r="H191" s="2" t="str">
        <f t="shared" si="4"/>
        <v>Unpaid</v>
      </c>
      <c r="I191" s="13">
        <f t="shared" si="5"/>
        <v>0</v>
      </c>
    </row>
    <row r="192" spans="1:9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  <c r="G192" s="5">
        <v>45981</v>
      </c>
      <c r="H192" s="2" t="str">
        <f t="shared" si="4"/>
        <v>Paid</v>
      </c>
      <c r="I192" s="13">
        <f t="shared" si="5"/>
        <v>0</v>
      </c>
    </row>
    <row r="193" spans="1:9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  <c r="G193" s="5">
        <v>45981</v>
      </c>
      <c r="H193" s="2" t="str">
        <f t="shared" si="4"/>
        <v>Paid</v>
      </c>
      <c r="I193" s="13">
        <f t="shared" si="5"/>
        <v>0</v>
      </c>
    </row>
    <row r="194" spans="1:9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  <c r="G194" s="5">
        <v>45981</v>
      </c>
      <c r="H194" s="2" t="str">
        <f t="shared" si="4"/>
        <v>Paid</v>
      </c>
      <c r="I194" s="13">
        <f t="shared" si="5"/>
        <v>0</v>
      </c>
    </row>
    <row r="195" spans="1:9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  <c r="G195" s="5">
        <v>45981</v>
      </c>
      <c r="H195" s="2" t="str">
        <f t="shared" ref="H195:H201" si="6">IF(F195&lt;&gt;"","Paid",IF(E195&lt;$G$2,"Overdue","Unpaid"))</f>
        <v>Overdue</v>
      </c>
      <c r="I195" s="13">
        <f t="shared" ref="I195:I201" si="7">IF(H195="Overdue", G195-E195, 0)</f>
        <v>84</v>
      </c>
    </row>
    <row r="196" spans="1:9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  <c r="G196" s="5">
        <v>45981</v>
      </c>
      <c r="H196" s="2" t="str">
        <f t="shared" si="6"/>
        <v>Overdue</v>
      </c>
      <c r="I196" s="13">
        <f t="shared" si="7"/>
        <v>172</v>
      </c>
    </row>
    <row r="197" spans="1:9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  <c r="G197" s="5">
        <v>45981</v>
      </c>
      <c r="H197" s="2" t="str">
        <f t="shared" si="6"/>
        <v>Unpaid</v>
      </c>
      <c r="I197" s="13">
        <f t="shared" si="7"/>
        <v>0</v>
      </c>
    </row>
    <row r="198" spans="1:9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  <c r="G198" s="5">
        <v>45981</v>
      </c>
      <c r="H198" s="2" t="str">
        <f t="shared" si="6"/>
        <v>Unpaid</v>
      </c>
      <c r="I198" s="13">
        <f t="shared" si="7"/>
        <v>0</v>
      </c>
    </row>
    <row r="199" spans="1:9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  <c r="G199" s="5">
        <v>45981</v>
      </c>
      <c r="H199" s="2" t="str">
        <f t="shared" si="6"/>
        <v>Paid</v>
      </c>
      <c r="I199" s="13">
        <f t="shared" si="7"/>
        <v>0</v>
      </c>
    </row>
    <row r="200" spans="1:9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  <c r="G200" s="5">
        <v>45981</v>
      </c>
      <c r="H200" s="2" t="str">
        <f t="shared" si="6"/>
        <v>Unpaid</v>
      </c>
      <c r="I200" s="13">
        <f t="shared" si="7"/>
        <v>0</v>
      </c>
    </row>
    <row r="201" spans="1:9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  <c r="G201" s="5">
        <v>45981</v>
      </c>
      <c r="H201" s="2" t="str">
        <f t="shared" si="6"/>
        <v>Paid</v>
      </c>
      <c r="I201" s="13">
        <f t="shared" si="7"/>
        <v>0</v>
      </c>
    </row>
  </sheetData>
  <conditionalFormatting sqref="H1:H1048576">
    <cfRule type="cellIs" dxfId="2" priority="1" operator="equal">
      <formula>"Unpaid"</formula>
    </cfRule>
    <cfRule type="cellIs" dxfId="1" priority="2" operator="equal">
      <formula>"Paid"</formula>
    </cfRule>
    <cfRule type="cellIs" dxfId="0" priority="3" operator="equal">
      <formula>"Overdue"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4D69F-5719-4ECE-A976-CD9A45525F6C}">
  <dimension ref="A1:H201"/>
  <sheetViews>
    <sheetView tabSelected="1" workbookViewId="0">
      <selection activeCell="E14" sqref="E14"/>
    </sheetView>
  </sheetViews>
  <sheetFormatPr defaultRowHeight="14.5" x14ac:dyDescent="0.35"/>
  <cols>
    <col min="1" max="1" width="15.08984375" style="9" customWidth="1"/>
    <col min="3" max="3" width="22.81640625" customWidth="1"/>
    <col min="4" max="4" width="21.36328125" customWidth="1"/>
    <col min="5" max="5" width="16.453125" customWidth="1"/>
    <col min="6" max="6" width="7.6328125" customWidth="1"/>
    <col min="7" max="7" width="20.90625" customWidth="1"/>
    <col min="8" max="8" width="26" customWidth="1"/>
  </cols>
  <sheetData>
    <row r="1" spans="1:8" ht="15.5" x14ac:dyDescent="0.35">
      <c r="A1" s="7" t="s">
        <v>5</v>
      </c>
    </row>
    <row r="2" spans="1:8" x14ac:dyDescent="0.35">
      <c r="A2" s="8" t="s">
        <v>10</v>
      </c>
      <c r="C2" s="19" t="s">
        <v>31</v>
      </c>
      <c r="D2" s="20"/>
      <c r="G2" s="19" t="s">
        <v>26</v>
      </c>
      <c r="H2" s="20"/>
    </row>
    <row r="3" spans="1:8" x14ac:dyDescent="0.35">
      <c r="A3" s="8" t="s">
        <v>11</v>
      </c>
      <c r="C3" s="15" t="s">
        <v>27</v>
      </c>
      <c r="D3" s="15" t="s">
        <v>29</v>
      </c>
      <c r="G3" s="15" t="s">
        <v>27</v>
      </c>
      <c r="H3" s="15" t="s">
        <v>29</v>
      </c>
    </row>
    <row r="4" spans="1:8" x14ac:dyDescent="0.35">
      <c r="A4" s="8" t="s">
        <v>0</v>
      </c>
      <c r="C4" s="16" t="s">
        <v>10</v>
      </c>
      <c r="D4" s="17">
        <f>COUNTIF(Analysis_Sheet!C:C, C4)</f>
        <v>9</v>
      </c>
      <c r="G4" s="16" t="s">
        <v>10</v>
      </c>
      <c r="H4" s="21">
        <f>COUNTIFS(Analysis_Sheet!C:C, G4, Analysis_Sheet!H:H, "Overdue") + COUNTIFS(Analysis_Sheet!C:C, G4, Analysis_Sheet!H:H, "Unpaid")</f>
        <v>2</v>
      </c>
    </row>
    <row r="5" spans="1:8" x14ac:dyDescent="0.35">
      <c r="A5" s="8" t="s">
        <v>9</v>
      </c>
    </row>
    <row r="6" spans="1:8" x14ac:dyDescent="0.35">
      <c r="A6" s="8" t="s">
        <v>1</v>
      </c>
    </row>
    <row r="7" spans="1:8" x14ac:dyDescent="0.35">
      <c r="A7" s="8" t="s">
        <v>12</v>
      </c>
    </row>
    <row r="8" spans="1:8" x14ac:dyDescent="0.35">
      <c r="A8" s="8" t="s">
        <v>13</v>
      </c>
    </row>
    <row r="9" spans="1:8" x14ac:dyDescent="0.35">
      <c r="A9" s="8" t="s">
        <v>2</v>
      </c>
      <c r="C9" s="19" t="s">
        <v>32</v>
      </c>
      <c r="D9" s="20"/>
      <c r="G9" s="19" t="s">
        <v>28</v>
      </c>
      <c r="H9" s="20"/>
    </row>
    <row r="10" spans="1:8" x14ac:dyDescent="0.35">
      <c r="A10" s="8" t="s">
        <v>14</v>
      </c>
      <c r="C10" s="15" t="s">
        <v>27</v>
      </c>
      <c r="D10" s="15" t="s">
        <v>30</v>
      </c>
      <c r="G10" s="15" t="s">
        <v>27</v>
      </c>
      <c r="H10" s="15" t="s">
        <v>30</v>
      </c>
    </row>
    <row r="11" spans="1:8" x14ac:dyDescent="0.35">
      <c r="A11" s="8" t="s">
        <v>3</v>
      </c>
      <c r="C11" s="16" t="s">
        <v>10</v>
      </c>
      <c r="D11" s="18">
        <f>SUMIF(Analysis_Sheet!C:C,Dashboard!C11, Analysis_Sheet!D:D )</f>
        <v>28290.74</v>
      </c>
      <c r="G11" s="16" t="s">
        <v>10</v>
      </c>
      <c r="H11" s="18">
        <f>SUMIFS(Analysis_Sheet!D:D, Analysis_Sheet!C:C, G11, Analysis_Sheet!H:H, "Overdue") + SUMIFS(Analysis_Sheet!D:D, Analysis_Sheet!C:C, G11, Analysis_Sheet!H:H, "Unpaid")</f>
        <v>5050.8999999999996</v>
      </c>
    </row>
    <row r="12" spans="1:8" x14ac:dyDescent="0.35">
      <c r="A12" s="8" t="s">
        <v>15</v>
      </c>
    </row>
    <row r="13" spans="1:8" x14ac:dyDescent="0.35">
      <c r="A13" s="8" t="s">
        <v>16</v>
      </c>
    </row>
    <row r="14" spans="1:8" x14ac:dyDescent="0.35">
      <c r="A14" s="8" t="s">
        <v>4</v>
      </c>
    </row>
    <row r="15" spans="1:8" x14ac:dyDescent="0.35">
      <c r="A15" s="8" t="s">
        <v>17</v>
      </c>
    </row>
    <row r="16" spans="1:8" x14ac:dyDescent="0.35">
      <c r="A16" s="8" t="s">
        <v>18</v>
      </c>
    </row>
    <row r="17" spans="1:1" x14ac:dyDescent="0.35">
      <c r="A17" s="8" t="s">
        <v>19</v>
      </c>
    </row>
    <row r="18" spans="1:1" x14ac:dyDescent="0.35">
      <c r="A18"/>
    </row>
    <row r="19" spans="1:1" x14ac:dyDescent="0.35">
      <c r="A19"/>
    </row>
    <row r="20" spans="1:1" x14ac:dyDescent="0.35">
      <c r="A20"/>
    </row>
    <row r="21" spans="1:1" x14ac:dyDescent="0.35">
      <c r="A21"/>
    </row>
    <row r="22" spans="1:1" x14ac:dyDescent="0.35">
      <c r="A22"/>
    </row>
    <row r="23" spans="1:1" x14ac:dyDescent="0.35">
      <c r="A23"/>
    </row>
    <row r="24" spans="1:1" x14ac:dyDescent="0.35">
      <c r="A24"/>
    </row>
    <row r="25" spans="1:1" x14ac:dyDescent="0.35">
      <c r="A25"/>
    </row>
    <row r="26" spans="1:1" x14ac:dyDescent="0.35">
      <c r="A26"/>
    </row>
    <row r="27" spans="1:1" x14ac:dyDescent="0.35">
      <c r="A27"/>
    </row>
    <row r="28" spans="1:1" x14ac:dyDescent="0.35">
      <c r="A28"/>
    </row>
    <row r="29" spans="1:1" x14ac:dyDescent="0.35">
      <c r="A29"/>
    </row>
    <row r="30" spans="1:1" x14ac:dyDescent="0.35">
      <c r="A30"/>
    </row>
    <row r="31" spans="1:1" x14ac:dyDescent="0.35">
      <c r="A31"/>
    </row>
    <row r="32" spans="1:1" x14ac:dyDescent="0.35">
      <c r="A32"/>
    </row>
    <row r="33" spans="1:1" x14ac:dyDescent="0.35">
      <c r="A33"/>
    </row>
    <row r="34" spans="1:1" x14ac:dyDescent="0.35">
      <c r="A34"/>
    </row>
    <row r="35" spans="1:1" x14ac:dyDescent="0.35">
      <c r="A35"/>
    </row>
    <row r="36" spans="1:1" x14ac:dyDescent="0.35">
      <c r="A36"/>
    </row>
    <row r="37" spans="1:1" x14ac:dyDescent="0.35">
      <c r="A37"/>
    </row>
    <row r="38" spans="1:1" x14ac:dyDescent="0.35">
      <c r="A38"/>
    </row>
    <row r="39" spans="1:1" x14ac:dyDescent="0.35">
      <c r="A39"/>
    </row>
    <row r="40" spans="1:1" x14ac:dyDescent="0.35">
      <c r="A40"/>
    </row>
    <row r="41" spans="1:1" x14ac:dyDescent="0.35">
      <c r="A41"/>
    </row>
    <row r="42" spans="1:1" x14ac:dyDescent="0.35">
      <c r="A42"/>
    </row>
    <row r="43" spans="1:1" x14ac:dyDescent="0.35">
      <c r="A43"/>
    </row>
    <row r="44" spans="1:1" x14ac:dyDescent="0.35">
      <c r="A44"/>
    </row>
    <row r="45" spans="1:1" x14ac:dyDescent="0.35">
      <c r="A45"/>
    </row>
    <row r="46" spans="1:1" x14ac:dyDescent="0.35">
      <c r="A46"/>
    </row>
    <row r="47" spans="1:1" x14ac:dyDescent="0.35">
      <c r="A47"/>
    </row>
    <row r="48" spans="1:1" x14ac:dyDescent="0.35">
      <c r="A48"/>
    </row>
    <row r="49" spans="1:1" x14ac:dyDescent="0.35">
      <c r="A49"/>
    </row>
    <row r="50" spans="1:1" x14ac:dyDescent="0.35">
      <c r="A50"/>
    </row>
    <row r="51" spans="1:1" x14ac:dyDescent="0.35">
      <c r="A51"/>
    </row>
    <row r="52" spans="1:1" x14ac:dyDescent="0.35">
      <c r="A52"/>
    </row>
    <row r="53" spans="1:1" x14ac:dyDescent="0.35">
      <c r="A53"/>
    </row>
    <row r="54" spans="1:1" x14ac:dyDescent="0.35">
      <c r="A54"/>
    </row>
    <row r="55" spans="1:1" x14ac:dyDescent="0.35">
      <c r="A55"/>
    </row>
    <row r="56" spans="1:1" x14ac:dyDescent="0.35">
      <c r="A56"/>
    </row>
    <row r="57" spans="1:1" x14ac:dyDescent="0.35">
      <c r="A57"/>
    </row>
    <row r="58" spans="1:1" x14ac:dyDescent="0.35">
      <c r="A58"/>
    </row>
    <row r="59" spans="1:1" x14ac:dyDescent="0.35">
      <c r="A59"/>
    </row>
    <row r="60" spans="1:1" x14ac:dyDescent="0.35">
      <c r="A60"/>
    </row>
    <row r="61" spans="1:1" x14ac:dyDescent="0.35">
      <c r="A61"/>
    </row>
    <row r="62" spans="1:1" x14ac:dyDescent="0.35">
      <c r="A62"/>
    </row>
    <row r="63" spans="1:1" x14ac:dyDescent="0.35">
      <c r="A63"/>
    </row>
    <row r="64" spans="1:1" x14ac:dyDescent="0.35">
      <c r="A64"/>
    </row>
    <row r="65" spans="1:1" x14ac:dyDescent="0.35">
      <c r="A65"/>
    </row>
    <row r="66" spans="1:1" x14ac:dyDescent="0.35">
      <c r="A66"/>
    </row>
    <row r="67" spans="1:1" x14ac:dyDescent="0.35">
      <c r="A67"/>
    </row>
    <row r="68" spans="1:1" x14ac:dyDescent="0.35">
      <c r="A68"/>
    </row>
    <row r="69" spans="1:1" x14ac:dyDescent="0.35">
      <c r="A69"/>
    </row>
    <row r="70" spans="1:1" x14ac:dyDescent="0.35">
      <c r="A70"/>
    </row>
    <row r="71" spans="1:1" x14ac:dyDescent="0.35">
      <c r="A71"/>
    </row>
    <row r="72" spans="1:1" x14ac:dyDescent="0.35">
      <c r="A72"/>
    </row>
    <row r="73" spans="1:1" x14ac:dyDescent="0.35">
      <c r="A73"/>
    </row>
    <row r="74" spans="1:1" x14ac:dyDescent="0.35">
      <c r="A74"/>
    </row>
    <row r="75" spans="1:1" x14ac:dyDescent="0.35">
      <c r="A75"/>
    </row>
    <row r="76" spans="1:1" x14ac:dyDescent="0.35">
      <c r="A76"/>
    </row>
    <row r="77" spans="1:1" x14ac:dyDescent="0.35">
      <c r="A77"/>
    </row>
    <row r="78" spans="1:1" x14ac:dyDescent="0.35">
      <c r="A78"/>
    </row>
    <row r="79" spans="1:1" x14ac:dyDescent="0.35">
      <c r="A79"/>
    </row>
    <row r="80" spans="1:1" x14ac:dyDescent="0.35">
      <c r="A80"/>
    </row>
    <row r="81" spans="1:1" x14ac:dyDescent="0.35">
      <c r="A81"/>
    </row>
    <row r="82" spans="1:1" x14ac:dyDescent="0.35">
      <c r="A82"/>
    </row>
    <row r="83" spans="1:1" x14ac:dyDescent="0.35">
      <c r="A83"/>
    </row>
    <row r="84" spans="1:1" x14ac:dyDescent="0.35">
      <c r="A84"/>
    </row>
    <row r="85" spans="1:1" x14ac:dyDescent="0.35">
      <c r="A85"/>
    </row>
    <row r="86" spans="1:1" x14ac:dyDescent="0.35">
      <c r="A86"/>
    </row>
    <row r="87" spans="1:1" x14ac:dyDescent="0.35">
      <c r="A87"/>
    </row>
    <row r="88" spans="1:1" x14ac:dyDescent="0.35">
      <c r="A88"/>
    </row>
    <row r="89" spans="1:1" x14ac:dyDescent="0.35">
      <c r="A89"/>
    </row>
    <row r="90" spans="1:1" x14ac:dyDescent="0.35">
      <c r="A90"/>
    </row>
    <row r="91" spans="1:1" x14ac:dyDescent="0.35">
      <c r="A91"/>
    </row>
    <row r="92" spans="1:1" x14ac:dyDescent="0.35">
      <c r="A92"/>
    </row>
    <row r="93" spans="1:1" x14ac:dyDescent="0.35">
      <c r="A93"/>
    </row>
    <row r="94" spans="1:1" x14ac:dyDescent="0.35">
      <c r="A94"/>
    </row>
    <row r="95" spans="1:1" x14ac:dyDescent="0.35">
      <c r="A95"/>
    </row>
    <row r="96" spans="1:1" x14ac:dyDescent="0.35">
      <c r="A96"/>
    </row>
    <row r="97" spans="1:1" x14ac:dyDescent="0.35">
      <c r="A97"/>
    </row>
    <row r="98" spans="1:1" x14ac:dyDescent="0.35">
      <c r="A98"/>
    </row>
    <row r="99" spans="1:1" x14ac:dyDescent="0.35">
      <c r="A99"/>
    </row>
    <row r="100" spans="1:1" x14ac:dyDescent="0.35">
      <c r="A100"/>
    </row>
    <row r="101" spans="1:1" x14ac:dyDescent="0.35">
      <c r="A101"/>
    </row>
    <row r="102" spans="1:1" x14ac:dyDescent="0.35">
      <c r="A102"/>
    </row>
    <row r="103" spans="1:1" x14ac:dyDescent="0.35">
      <c r="A103"/>
    </row>
    <row r="104" spans="1:1" x14ac:dyDescent="0.35">
      <c r="A104"/>
    </row>
    <row r="105" spans="1:1" x14ac:dyDescent="0.35">
      <c r="A105"/>
    </row>
    <row r="106" spans="1:1" x14ac:dyDescent="0.35">
      <c r="A106"/>
    </row>
    <row r="107" spans="1:1" x14ac:dyDescent="0.35">
      <c r="A107"/>
    </row>
    <row r="108" spans="1:1" x14ac:dyDescent="0.35">
      <c r="A108"/>
    </row>
    <row r="109" spans="1:1" x14ac:dyDescent="0.35">
      <c r="A109"/>
    </row>
    <row r="110" spans="1:1" x14ac:dyDescent="0.35">
      <c r="A110"/>
    </row>
    <row r="111" spans="1:1" x14ac:dyDescent="0.35">
      <c r="A111"/>
    </row>
    <row r="112" spans="1:1" x14ac:dyDescent="0.35">
      <c r="A112"/>
    </row>
    <row r="113" spans="1:1" x14ac:dyDescent="0.35">
      <c r="A113"/>
    </row>
    <row r="114" spans="1:1" x14ac:dyDescent="0.35">
      <c r="A114"/>
    </row>
    <row r="115" spans="1:1" x14ac:dyDescent="0.35">
      <c r="A115"/>
    </row>
    <row r="116" spans="1:1" x14ac:dyDescent="0.35">
      <c r="A116"/>
    </row>
    <row r="117" spans="1:1" x14ac:dyDescent="0.35">
      <c r="A117"/>
    </row>
    <row r="118" spans="1:1" x14ac:dyDescent="0.35">
      <c r="A118"/>
    </row>
    <row r="119" spans="1:1" x14ac:dyDescent="0.35">
      <c r="A119"/>
    </row>
    <row r="120" spans="1:1" x14ac:dyDescent="0.35">
      <c r="A120"/>
    </row>
    <row r="121" spans="1:1" x14ac:dyDescent="0.35">
      <c r="A121"/>
    </row>
    <row r="122" spans="1:1" x14ac:dyDescent="0.35">
      <c r="A122"/>
    </row>
    <row r="123" spans="1:1" x14ac:dyDescent="0.35">
      <c r="A123"/>
    </row>
    <row r="124" spans="1:1" x14ac:dyDescent="0.35">
      <c r="A124"/>
    </row>
    <row r="125" spans="1:1" x14ac:dyDescent="0.35">
      <c r="A125"/>
    </row>
    <row r="126" spans="1:1" x14ac:dyDescent="0.35">
      <c r="A126"/>
    </row>
    <row r="127" spans="1:1" x14ac:dyDescent="0.35">
      <c r="A127"/>
    </row>
    <row r="128" spans="1:1" x14ac:dyDescent="0.35">
      <c r="A128"/>
    </row>
    <row r="129" spans="1:1" x14ac:dyDescent="0.35">
      <c r="A129"/>
    </row>
    <row r="130" spans="1:1" x14ac:dyDescent="0.35">
      <c r="A130"/>
    </row>
    <row r="131" spans="1:1" x14ac:dyDescent="0.35">
      <c r="A131"/>
    </row>
    <row r="132" spans="1:1" x14ac:dyDescent="0.35">
      <c r="A132"/>
    </row>
    <row r="133" spans="1:1" x14ac:dyDescent="0.35">
      <c r="A133"/>
    </row>
    <row r="134" spans="1:1" x14ac:dyDescent="0.35">
      <c r="A134"/>
    </row>
    <row r="135" spans="1:1" x14ac:dyDescent="0.35">
      <c r="A135"/>
    </row>
    <row r="136" spans="1:1" x14ac:dyDescent="0.35">
      <c r="A136"/>
    </row>
    <row r="137" spans="1:1" x14ac:dyDescent="0.35">
      <c r="A137"/>
    </row>
    <row r="138" spans="1:1" x14ac:dyDescent="0.35">
      <c r="A138"/>
    </row>
    <row r="139" spans="1:1" x14ac:dyDescent="0.35">
      <c r="A139"/>
    </row>
    <row r="140" spans="1:1" x14ac:dyDescent="0.35">
      <c r="A140"/>
    </row>
    <row r="141" spans="1:1" x14ac:dyDescent="0.35">
      <c r="A141"/>
    </row>
    <row r="142" spans="1:1" x14ac:dyDescent="0.35">
      <c r="A142"/>
    </row>
    <row r="143" spans="1:1" x14ac:dyDescent="0.35">
      <c r="A143"/>
    </row>
    <row r="144" spans="1:1" x14ac:dyDescent="0.35">
      <c r="A144"/>
    </row>
    <row r="145" spans="1:1" x14ac:dyDescent="0.35">
      <c r="A145"/>
    </row>
    <row r="146" spans="1:1" x14ac:dyDescent="0.35">
      <c r="A146"/>
    </row>
    <row r="147" spans="1:1" x14ac:dyDescent="0.35">
      <c r="A147"/>
    </row>
    <row r="148" spans="1:1" x14ac:dyDescent="0.35">
      <c r="A148"/>
    </row>
    <row r="149" spans="1:1" x14ac:dyDescent="0.35">
      <c r="A149"/>
    </row>
    <row r="150" spans="1:1" x14ac:dyDescent="0.35">
      <c r="A150"/>
    </row>
    <row r="151" spans="1:1" x14ac:dyDescent="0.35">
      <c r="A151"/>
    </row>
    <row r="152" spans="1:1" x14ac:dyDescent="0.35">
      <c r="A152"/>
    </row>
    <row r="153" spans="1:1" x14ac:dyDescent="0.35">
      <c r="A153"/>
    </row>
    <row r="154" spans="1:1" x14ac:dyDescent="0.35">
      <c r="A154"/>
    </row>
    <row r="155" spans="1:1" x14ac:dyDescent="0.35">
      <c r="A155"/>
    </row>
    <row r="156" spans="1:1" x14ac:dyDescent="0.35">
      <c r="A156"/>
    </row>
    <row r="157" spans="1:1" x14ac:dyDescent="0.35">
      <c r="A157"/>
    </row>
    <row r="158" spans="1:1" x14ac:dyDescent="0.35">
      <c r="A158"/>
    </row>
    <row r="159" spans="1:1" x14ac:dyDescent="0.35">
      <c r="A159"/>
    </row>
    <row r="160" spans="1:1" x14ac:dyDescent="0.35">
      <c r="A160"/>
    </row>
    <row r="161" spans="1:1" x14ac:dyDescent="0.35">
      <c r="A161"/>
    </row>
    <row r="162" spans="1:1" x14ac:dyDescent="0.35">
      <c r="A162"/>
    </row>
    <row r="163" spans="1:1" x14ac:dyDescent="0.35">
      <c r="A163"/>
    </row>
    <row r="164" spans="1:1" x14ac:dyDescent="0.35">
      <c r="A164"/>
    </row>
    <row r="165" spans="1:1" x14ac:dyDescent="0.35">
      <c r="A165"/>
    </row>
    <row r="166" spans="1:1" x14ac:dyDescent="0.35">
      <c r="A166"/>
    </row>
    <row r="167" spans="1:1" x14ac:dyDescent="0.35">
      <c r="A167"/>
    </row>
    <row r="168" spans="1:1" x14ac:dyDescent="0.35">
      <c r="A168"/>
    </row>
    <row r="169" spans="1:1" x14ac:dyDescent="0.35">
      <c r="A169"/>
    </row>
    <row r="170" spans="1:1" x14ac:dyDescent="0.35">
      <c r="A170"/>
    </row>
    <row r="171" spans="1:1" x14ac:dyDescent="0.35">
      <c r="A171"/>
    </row>
    <row r="172" spans="1:1" x14ac:dyDescent="0.35">
      <c r="A172"/>
    </row>
    <row r="173" spans="1:1" x14ac:dyDescent="0.35">
      <c r="A173"/>
    </row>
    <row r="174" spans="1:1" x14ac:dyDescent="0.35">
      <c r="A174"/>
    </row>
    <row r="175" spans="1:1" x14ac:dyDescent="0.35">
      <c r="A175"/>
    </row>
    <row r="176" spans="1:1" x14ac:dyDescent="0.35">
      <c r="A176"/>
    </row>
    <row r="177" spans="1:1" x14ac:dyDescent="0.35">
      <c r="A177"/>
    </row>
    <row r="178" spans="1:1" x14ac:dyDescent="0.35">
      <c r="A178"/>
    </row>
    <row r="179" spans="1:1" x14ac:dyDescent="0.35">
      <c r="A179"/>
    </row>
    <row r="180" spans="1:1" x14ac:dyDescent="0.35">
      <c r="A180"/>
    </row>
    <row r="181" spans="1:1" x14ac:dyDescent="0.35">
      <c r="A181"/>
    </row>
    <row r="182" spans="1:1" x14ac:dyDescent="0.35">
      <c r="A182"/>
    </row>
    <row r="183" spans="1:1" x14ac:dyDescent="0.35">
      <c r="A183"/>
    </row>
    <row r="184" spans="1:1" x14ac:dyDescent="0.35">
      <c r="A184"/>
    </row>
    <row r="185" spans="1:1" x14ac:dyDescent="0.35">
      <c r="A185"/>
    </row>
    <row r="186" spans="1:1" x14ac:dyDescent="0.35">
      <c r="A186"/>
    </row>
    <row r="187" spans="1:1" x14ac:dyDescent="0.35">
      <c r="A187"/>
    </row>
    <row r="188" spans="1:1" x14ac:dyDescent="0.35">
      <c r="A188"/>
    </row>
    <row r="189" spans="1:1" x14ac:dyDescent="0.35">
      <c r="A189"/>
    </row>
    <row r="190" spans="1:1" x14ac:dyDescent="0.35">
      <c r="A190"/>
    </row>
    <row r="191" spans="1:1" x14ac:dyDescent="0.35">
      <c r="A191"/>
    </row>
    <row r="192" spans="1:1" x14ac:dyDescent="0.35">
      <c r="A192"/>
    </row>
    <row r="193" spans="1:1" x14ac:dyDescent="0.35">
      <c r="A193"/>
    </row>
    <row r="194" spans="1:1" x14ac:dyDescent="0.35">
      <c r="A194"/>
    </row>
    <row r="195" spans="1:1" x14ac:dyDescent="0.35">
      <c r="A195"/>
    </row>
    <row r="196" spans="1:1" x14ac:dyDescent="0.35">
      <c r="A196"/>
    </row>
    <row r="197" spans="1:1" x14ac:dyDescent="0.35">
      <c r="A197"/>
    </row>
    <row r="198" spans="1:1" x14ac:dyDescent="0.35">
      <c r="A198"/>
    </row>
    <row r="199" spans="1:1" x14ac:dyDescent="0.35">
      <c r="A199"/>
    </row>
    <row r="200" spans="1:1" x14ac:dyDescent="0.35">
      <c r="A200"/>
    </row>
    <row r="201" spans="1:1" x14ac:dyDescent="0.35">
      <c r="A201"/>
    </row>
  </sheetData>
  <mergeCells count="4">
    <mergeCell ref="C2:D2"/>
    <mergeCell ref="C9:D9"/>
    <mergeCell ref="G2:H2"/>
    <mergeCell ref="G9:H9"/>
  </mergeCells>
  <dataValidations count="2">
    <dataValidation type="list" allowBlank="1" showInputMessage="1" showErrorMessage="1" sqref="C11 G11" xr:uid="{DF3C6C81-16D2-4586-94DA-3AE0330AC6DC}">
      <formula1>$A$2:$A$17</formula1>
    </dataValidation>
    <dataValidation type="list" allowBlank="1" showInputMessage="1" showErrorMessage="1" sqref="C4 G4" xr:uid="{E36DAA60-4B51-44D5-B5C1-6DA769F7E156}">
      <formula1>$A$2:$A$17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Invoice_Master_Data</vt:lpstr>
      <vt:lpstr>Analysis_Sheet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forte</dc:creator>
  <cp:lastModifiedBy>renato forte</cp:lastModifiedBy>
  <dcterms:created xsi:type="dcterms:W3CDTF">2025-11-20T21:27:17Z</dcterms:created>
  <dcterms:modified xsi:type="dcterms:W3CDTF">2025-11-23T23:25:00Z</dcterms:modified>
</cp:coreProperties>
</file>